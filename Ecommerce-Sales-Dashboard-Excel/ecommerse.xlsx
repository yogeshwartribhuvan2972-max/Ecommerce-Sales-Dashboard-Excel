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OneDrive\Desktop\practice\"/>
    </mc:Choice>
  </mc:AlternateContent>
  <xr:revisionPtr revIDLastSave="0" documentId="13_ncr:1_{17EF5E71-BB09-4DC8-B1DE-87E87602B7BE}" xr6:coauthVersionLast="47" xr6:coauthVersionMax="47" xr10:uidLastSave="{00000000-0000-0000-0000-000000000000}"/>
  <bookViews>
    <workbookView xWindow="-120" yWindow="-120" windowWidth="20730" windowHeight="11040" tabRatio="853" firstSheet="4" activeTab="11" xr2:uid="{D9F20D42-0D34-49D8-B6A1-26F09B151A3B}"/>
  </bookViews>
  <sheets>
    <sheet name="raw data" sheetId="1" r:id="rId1"/>
    <sheet name="paste as value" sheetId="2" r:id="rId2"/>
    <sheet name="sales by category" sheetId="6" r:id="rId3"/>
    <sheet name="MONTHLY TREND" sheetId="9" r:id="rId4"/>
    <sheet name="TOP CITY" sheetId="10" r:id="rId5"/>
    <sheet name="PAYMENT METHOD" sheetId="11" r:id="rId6"/>
    <sheet name="DELIVERY VS RATING" sheetId="12" r:id="rId7"/>
    <sheet name="RETURNS" sheetId="13" r:id="rId8"/>
    <sheet name="CUSTOMER TYPE" sheetId="14" r:id="rId9"/>
    <sheet name="AGE GROUP" sheetId="15" r:id="rId10"/>
    <sheet name="cleaning" sheetId="3" r:id="rId11"/>
    <sheet name="report" sheetId="4" r:id="rId12"/>
  </sheets>
  <definedNames>
    <definedName name="_xlnm._FilterDatabase" localSheetId="10" hidden="1">cleaning!$A$1:$U$301</definedName>
    <definedName name="_xlnm._FilterDatabase" localSheetId="1" hidden="1">'paste as value'!$A$1:$R$301</definedName>
    <definedName name="Slicer_City">#N/A</definedName>
    <definedName name="Slicer_Payment_Method">#N/A</definedName>
    <definedName name="Slicer_Product_Category">#N/A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5" i="3" l="1"/>
  <c r="W4"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2" i="3"/>
  <c r="K2" i="1"/>
  <c r="W3"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2" i="3"/>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W2" i="3" l="1"/>
</calcChain>
</file>

<file path=xl/sharedStrings.xml><?xml version="1.0" encoding="utf-8"?>
<sst xmlns="http://schemas.openxmlformats.org/spreadsheetml/2006/main" count="7032" uniqueCount="582">
  <si>
    <t>Order_ID</t>
  </si>
  <si>
    <t>Order_Date</t>
  </si>
  <si>
    <t>Customer_Age</t>
  </si>
  <si>
    <t>City</t>
  </si>
  <si>
    <t>Product_Category</t>
  </si>
  <si>
    <t>Product_Price</t>
  </si>
  <si>
    <t>Quantity</t>
  </si>
  <si>
    <t>Payment_Method</t>
  </si>
  <si>
    <t>Delivery_Time_Days</t>
  </si>
  <si>
    <t>Customer_Rating</t>
  </si>
  <si>
    <t>priority customer</t>
  </si>
  <si>
    <t>CC</t>
  </si>
  <si>
    <t>PMC</t>
  </si>
  <si>
    <t>tax %</t>
  </si>
  <si>
    <t>category_wise_revenue</t>
  </si>
  <si>
    <t>transactions</t>
  </si>
  <si>
    <t>returns%</t>
  </si>
  <si>
    <t>benefits</t>
  </si>
  <si>
    <t>ORD0001</t>
  </si>
  <si>
    <t>2025-04-07</t>
  </si>
  <si>
    <t>Bangalore</t>
  </si>
  <si>
    <t>Home Appliances</t>
  </si>
  <si>
    <t>Cash on Delivery</t>
  </si>
  <si>
    <t>ORD0002</t>
  </si>
  <si>
    <t>2025-01-04</t>
  </si>
  <si>
    <t>Hyderabad</t>
  </si>
  <si>
    <t>Sports</t>
  </si>
  <si>
    <t>ORD0003</t>
  </si>
  <si>
    <t>2025-08-21</t>
  </si>
  <si>
    <t>Pune</t>
  </si>
  <si>
    <t>Clothing</t>
  </si>
  <si>
    <t>Net Banking</t>
  </si>
  <si>
    <t>ORD0004</t>
  </si>
  <si>
    <t>2025-04-14</t>
  </si>
  <si>
    <t>Mumbai</t>
  </si>
  <si>
    <t>Electronics</t>
  </si>
  <si>
    <t>Credit Card</t>
  </si>
  <si>
    <t>ORD0005</t>
  </si>
  <si>
    <t>2025-03-24</t>
  </si>
  <si>
    <t>UPI</t>
  </si>
  <si>
    <t>ORD0006</t>
  </si>
  <si>
    <t>2025-01-14</t>
  </si>
  <si>
    <t>Debit Card</t>
  </si>
  <si>
    <t>ORD0007</t>
  </si>
  <si>
    <t>2025-11-16</t>
  </si>
  <si>
    <t>Delhi</t>
  </si>
  <si>
    <t>ORD0008</t>
  </si>
  <si>
    <t>2025-07-29</t>
  </si>
  <si>
    <t>Books</t>
  </si>
  <si>
    <t>ORD0009</t>
  </si>
  <si>
    <t>2025-06-04</t>
  </si>
  <si>
    <t>Beauty</t>
  </si>
  <si>
    <t>ORD0010</t>
  </si>
  <si>
    <t>2025-01-15</t>
  </si>
  <si>
    <t>Chennai</t>
  </si>
  <si>
    <t>ORD0011</t>
  </si>
  <si>
    <t>2025-03-18</t>
  </si>
  <si>
    <t>ORD0012</t>
  </si>
  <si>
    <t>2025-07-01</t>
  </si>
  <si>
    <t>ORD0013</t>
  </si>
  <si>
    <t>2025-03-31</t>
  </si>
  <si>
    <t>ORD0014</t>
  </si>
  <si>
    <t>2025-08-13</t>
  </si>
  <si>
    <t>ORD0015</t>
  </si>
  <si>
    <t>2025-04-16</t>
  </si>
  <si>
    <t>ORD0016</t>
  </si>
  <si>
    <t>2025-05-14</t>
  </si>
  <si>
    <t>ORD0017</t>
  </si>
  <si>
    <t>2025-04-13</t>
  </si>
  <si>
    <t>ORD0018</t>
  </si>
  <si>
    <t>2025-03-28</t>
  </si>
  <si>
    <t>ORD0019</t>
  </si>
  <si>
    <t>2025-10-02</t>
  </si>
  <si>
    <t>ORD0020</t>
  </si>
  <si>
    <t>2025-02-21</t>
  </si>
  <si>
    <t>ORD0021</t>
  </si>
  <si>
    <t>2025-08-18</t>
  </si>
  <si>
    <t>ORD0022</t>
  </si>
  <si>
    <t>2025-03-11</t>
  </si>
  <si>
    <t>ORD0023</t>
  </si>
  <si>
    <t>2025-09-05</t>
  </si>
  <si>
    <t>ORD0024</t>
  </si>
  <si>
    <t>2025-07-21</t>
  </si>
  <si>
    <t>ORD0025</t>
  </si>
  <si>
    <t>2025-06-30</t>
  </si>
  <si>
    <t>ORD0026</t>
  </si>
  <si>
    <t>2025-05-17</t>
  </si>
  <si>
    <t>ORD0027</t>
  </si>
  <si>
    <t>2025-10-01</t>
  </si>
  <si>
    <t>ORD0028</t>
  </si>
  <si>
    <t>2025-03-16</t>
  </si>
  <si>
    <t>ORD0029</t>
  </si>
  <si>
    <t>2025-12-09</t>
  </si>
  <si>
    <t>ORD0030</t>
  </si>
  <si>
    <t>2025-08-02</t>
  </si>
  <si>
    <t>ORD0031</t>
  </si>
  <si>
    <t>ORD0032</t>
  </si>
  <si>
    <t>2025-08-14</t>
  </si>
  <si>
    <t>ORD0033</t>
  </si>
  <si>
    <t>2025-03-09</t>
  </si>
  <si>
    <t>ORD0034</t>
  </si>
  <si>
    <t>2025-01-11</t>
  </si>
  <si>
    <t>ORD0035</t>
  </si>
  <si>
    <t>2025-06-10</t>
  </si>
  <si>
    <t>ORD0036</t>
  </si>
  <si>
    <t>ORD0037</t>
  </si>
  <si>
    <t>2025-10-29</t>
  </si>
  <si>
    <t>ORD0038</t>
  </si>
  <si>
    <t>2025-02-01</t>
  </si>
  <si>
    <t>ORD0039</t>
  </si>
  <si>
    <t>ORD0040</t>
  </si>
  <si>
    <t>2025-06-18</t>
  </si>
  <si>
    <t>ORD0041</t>
  </si>
  <si>
    <t>2025-10-31</t>
  </si>
  <si>
    <t>ORD0042</t>
  </si>
  <si>
    <t>2025-07-07</t>
  </si>
  <si>
    <t>ORD0043</t>
  </si>
  <si>
    <t>ORD0044</t>
  </si>
  <si>
    <t>2025-05-29</t>
  </si>
  <si>
    <t>ORD0045</t>
  </si>
  <si>
    <t>2025-01-28</t>
  </si>
  <si>
    <t>ORD0046</t>
  </si>
  <si>
    <t>2025-08-25</t>
  </si>
  <si>
    <t>ORD0047</t>
  </si>
  <si>
    <t>2025-01-08</t>
  </si>
  <si>
    <t>ORD0048</t>
  </si>
  <si>
    <t>2025-09-01</t>
  </si>
  <si>
    <t>ORD0049</t>
  </si>
  <si>
    <t>2025-11-13</t>
  </si>
  <si>
    <t>ORD0050</t>
  </si>
  <si>
    <t>2025-05-05</t>
  </si>
  <si>
    <t>ORD0051</t>
  </si>
  <si>
    <t>ORD0052</t>
  </si>
  <si>
    <t>2025-09-18</t>
  </si>
  <si>
    <t>ORD0053</t>
  </si>
  <si>
    <t>2025-08-19</t>
  </si>
  <si>
    <t>ORD0054</t>
  </si>
  <si>
    <t>2025-02-16</t>
  </si>
  <si>
    <t>ORD0055</t>
  </si>
  <si>
    <t>2025-02-12</t>
  </si>
  <si>
    <t>ORD0056</t>
  </si>
  <si>
    <t>2025-10-11</t>
  </si>
  <si>
    <t>ORD0057</t>
  </si>
  <si>
    <t>2025-09-24</t>
  </si>
  <si>
    <t>ORD0058</t>
  </si>
  <si>
    <t>2025-01-09</t>
  </si>
  <si>
    <t>ORD0059</t>
  </si>
  <si>
    <t>ORD0060</t>
  </si>
  <si>
    <t>2025-09-29</t>
  </si>
  <si>
    <t>ORD0061</t>
  </si>
  <si>
    <t>2025-12-01</t>
  </si>
  <si>
    <t>ORD0062</t>
  </si>
  <si>
    <t>2025-09-16</t>
  </si>
  <si>
    <t>ORD0063</t>
  </si>
  <si>
    <t>ORD0064</t>
  </si>
  <si>
    <t>ORD0065</t>
  </si>
  <si>
    <t>2026-01-01</t>
  </si>
  <si>
    <t>ORD0066</t>
  </si>
  <si>
    <t>2025-01-29</t>
  </si>
  <si>
    <t>ORD0067</t>
  </si>
  <si>
    <t>2025-03-30</t>
  </si>
  <si>
    <t>ORD0068</t>
  </si>
  <si>
    <t>2025-10-26</t>
  </si>
  <si>
    <t>ORD0069</t>
  </si>
  <si>
    <t>2025-03-07</t>
  </si>
  <si>
    <t>ORD0070</t>
  </si>
  <si>
    <t>2025-08-11</t>
  </si>
  <si>
    <t>ORD0071</t>
  </si>
  <si>
    <t>2025-11-10</t>
  </si>
  <si>
    <t>ORD0072</t>
  </si>
  <si>
    <t>2025-11-06</t>
  </si>
  <si>
    <t>ORD0073</t>
  </si>
  <si>
    <t>ORD0074</t>
  </si>
  <si>
    <t>2025-11-09</t>
  </si>
  <si>
    <t>ORD0075</t>
  </si>
  <si>
    <t>2025-11-11</t>
  </si>
  <si>
    <t>ORD0076</t>
  </si>
  <si>
    <t>2025-10-25</t>
  </si>
  <si>
    <t>ORD0077</t>
  </si>
  <si>
    <t>ORD0078</t>
  </si>
  <si>
    <t>ORD0079</t>
  </si>
  <si>
    <t>2025-07-08</t>
  </si>
  <si>
    <t>ORD0080</t>
  </si>
  <si>
    <t>ORD0081</t>
  </si>
  <si>
    <t>2025-04-22</t>
  </si>
  <si>
    <t>ORD0082</t>
  </si>
  <si>
    <t>2025-05-13</t>
  </si>
  <si>
    <t>ORD0083</t>
  </si>
  <si>
    <t>2025-06-13</t>
  </si>
  <si>
    <t>ORD0084</t>
  </si>
  <si>
    <t>ORD0085</t>
  </si>
  <si>
    <t>ORD0086</t>
  </si>
  <si>
    <t>2025-11-24</t>
  </si>
  <si>
    <t>ORD0087</t>
  </si>
  <si>
    <t>2025-07-10</t>
  </si>
  <si>
    <t>ORD0088</t>
  </si>
  <si>
    <t>2025-07-17</t>
  </si>
  <si>
    <t>ORD0089</t>
  </si>
  <si>
    <t>ORD0090</t>
  </si>
  <si>
    <t>ORD0091</t>
  </si>
  <si>
    <t>2025-12-27</t>
  </si>
  <si>
    <t>ORD0092</t>
  </si>
  <si>
    <t>2025-01-19</t>
  </si>
  <si>
    <t>ORD0093</t>
  </si>
  <si>
    <t>2025-10-16</t>
  </si>
  <si>
    <t>ORD0094</t>
  </si>
  <si>
    <t>ORD0095</t>
  </si>
  <si>
    <t>ORD0096</t>
  </si>
  <si>
    <t>2025-03-04</t>
  </si>
  <si>
    <t>ORD0097</t>
  </si>
  <si>
    <t>2025-07-03</t>
  </si>
  <si>
    <t>ORD0098</t>
  </si>
  <si>
    <t>ORD0099</t>
  </si>
  <si>
    <t>ORD0100</t>
  </si>
  <si>
    <t>2025-10-28</t>
  </si>
  <si>
    <t>ORD0101</t>
  </si>
  <si>
    <t>2025-06-16</t>
  </si>
  <si>
    <t>ORD0102</t>
  </si>
  <si>
    <t>2025-01-17</t>
  </si>
  <si>
    <t>ORD0103</t>
  </si>
  <si>
    <t>ORD0104</t>
  </si>
  <si>
    <t>ORD0105</t>
  </si>
  <si>
    <t>2025-05-06</t>
  </si>
  <si>
    <t>ORD0106</t>
  </si>
  <si>
    <t>2025-09-04</t>
  </si>
  <si>
    <t>ORD0107</t>
  </si>
  <si>
    <t>2025-02-15</t>
  </si>
  <si>
    <t>ORD0108</t>
  </si>
  <si>
    <t>2025-12-16</t>
  </si>
  <si>
    <t>ORD0109</t>
  </si>
  <si>
    <t>ORD0110</t>
  </si>
  <si>
    <t>2025-07-09</t>
  </si>
  <si>
    <t>ORD0111</t>
  </si>
  <si>
    <t>2025-01-24</t>
  </si>
  <si>
    <t>ORD0112</t>
  </si>
  <si>
    <t>2025-09-20</t>
  </si>
  <si>
    <t>ORD0113</t>
  </si>
  <si>
    <t>2025-08-05</t>
  </si>
  <si>
    <t>ORD0114</t>
  </si>
  <si>
    <t>2025-11-22</t>
  </si>
  <si>
    <t>ORD0115</t>
  </si>
  <si>
    <t>2025-10-12</t>
  </si>
  <si>
    <t>ORD0116</t>
  </si>
  <si>
    <t>2025-12-20</t>
  </si>
  <si>
    <t>ORD0117</t>
  </si>
  <si>
    <t>2025-03-22</t>
  </si>
  <si>
    <t>ORD0118</t>
  </si>
  <si>
    <t>2025-10-03</t>
  </si>
  <si>
    <t>ORD0119</t>
  </si>
  <si>
    <t>2025-11-28</t>
  </si>
  <si>
    <t>ORD0120</t>
  </si>
  <si>
    <t>2025-09-30</t>
  </si>
  <si>
    <t>ORD0121</t>
  </si>
  <si>
    <t>2025-08-06</t>
  </si>
  <si>
    <t>ORD0122</t>
  </si>
  <si>
    <t>2025-04-03</t>
  </si>
  <si>
    <t>ORD0123</t>
  </si>
  <si>
    <t>2025-05-02</t>
  </si>
  <si>
    <t>ORD0124</t>
  </si>
  <si>
    <t>2025-11-18</t>
  </si>
  <si>
    <t>ORD0125</t>
  </si>
  <si>
    <t>2025-06-20</t>
  </si>
  <si>
    <t>ORD0126</t>
  </si>
  <si>
    <t>ORD0127</t>
  </si>
  <si>
    <t>ORD0128</t>
  </si>
  <si>
    <t>2025-12-17</t>
  </si>
  <si>
    <t>ORD0129</t>
  </si>
  <si>
    <t>2025-09-02</t>
  </si>
  <si>
    <t>ORD0130</t>
  </si>
  <si>
    <t>2025-08-04</t>
  </si>
  <si>
    <t>ORD0131</t>
  </si>
  <si>
    <t>ORD0132</t>
  </si>
  <si>
    <t>ORD0133</t>
  </si>
  <si>
    <t>2025-06-03</t>
  </si>
  <si>
    <t>ORD0134</t>
  </si>
  <si>
    <t>ORD0135</t>
  </si>
  <si>
    <t>2025-08-01</t>
  </si>
  <si>
    <t>ORD0136</t>
  </si>
  <si>
    <t>2025-08-27</t>
  </si>
  <si>
    <t>ORD0137</t>
  </si>
  <si>
    <t>2025-04-26</t>
  </si>
  <si>
    <t>ORD0138</t>
  </si>
  <si>
    <t>2025-12-26</t>
  </si>
  <si>
    <t>ORD0139</t>
  </si>
  <si>
    <t>ORD0140</t>
  </si>
  <si>
    <t>ORD0141</t>
  </si>
  <si>
    <t>2025-03-15</t>
  </si>
  <si>
    <t>ORD0142</t>
  </si>
  <si>
    <t>2025-03-12</t>
  </si>
  <si>
    <t>ORD0143</t>
  </si>
  <si>
    <t>ORD0144</t>
  </si>
  <si>
    <t>2025-04-23</t>
  </si>
  <si>
    <t>ORD0145</t>
  </si>
  <si>
    <t>2025-09-08</t>
  </si>
  <si>
    <t>ORD0146</t>
  </si>
  <si>
    <t>ORD0147</t>
  </si>
  <si>
    <t>2025-07-05</t>
  </si>
  <si>
    <t>ORD0148</t>
  </si>
  <si>
    <t>2025-12-24</t>
  </si>
  <si>
    <t>ORD0149</t>
  </si>
  <si>
    <t>2025-04-05</t>
  </si>
  <si>
    <t>ORD0150</t>
  </si>
  <si>
    <t>2025-06-11</t>
  </si>
  <si>
    <t>ORD0151</t>
  </si>
  <si>
    <t>2025-04-10</t>
  </si>
  <si>
    <t>ORD0152</t>
  </si>
  <si>
    <t>ORD0153</t>
  </si>
  <si>
    <t>ORD0154</t>
  </si>
  <si>
    <t>2025-07-28</t>
  </si>
  <si>
    <t>ORD0155</t>
  </si>
  <si>
    <t>2025-08-23</t>
  </si>
  <si>
    <t>ORD0156</t>
  </si>
  <si>
    <t>ORD0157</t>
  </si>
  <si>
    <t>2025-09-22</t>
  </si>
  <si>
    <t>ORD0158</t>
  </si>
  <si>
    <t>2025-02-02</t>
  </si>
  <si>
    <t>ORD0159</t>
  </si>
  <si>
    <t>2025-02-14</t>
  </si>
  <si>
    <t>ORD0160</t>
  </si>
  <si>
    <t>2025-09-09</t>
  </si>
  <si>
    <t>ORD0161</t>
  </si>
  <si>
    <t>2025-01-20</t>
  </si>
  <si>
    <t>ORD0162</t>
  </si>
  <si>
    <t>2025-12-10</t>
  </si>
  <si>
    <t>ORD0163</t>
  </si>
  <si>
    <t>ORD0164</t>
  </si>
  <si>
    <t>2025-03-05</t>
  </si>
  <si>
    <t>ORD0165</t>
  </si>
  <si>
    <t>2025-09-21</t>
  </si>
  <si>
    <t>ORD0166</t>
  </si>
  <si>
    <t>ORD0167</t>
  </si>
  <si>
    <t>2025-08-26</t>
  </si>
  <si>
    <t>ORD0168</t>
  </si>
  <si>
    <t>2025-02-03</t>
  </si>
  <si>
    <t>ORD0169</t>
  </si>
  <si>
    <t>ORD0170</t>
  </si>
  <si>
    <t>2025-04-25</t>
  </si>
  <si>
    <t>ORD0171</t>
  </si>
  <si>
    <t>2025-07-02</t>
  </si>
  <si>
    <t>ORD0172</t>
  </si>
  <si>
    <t>ORD0173</t>
  </si>
  <si>
    <t>ORD0174</t>
  </si>
  <si>
    <t>2025-02-04</t>
  </si>
  <si>
    <t>ORD0175</t>
  </si>
  <si>
    <t>2025-02-26</t>
  </si>
  <si>
    <t>ORD0176</t>
  </si>
  <si>
    <t>ORD0177</t>
  </si>
  <si>
    <t>2025-02-10</t>
  </si>
  <si>
    <t>ORD0178</t>
  </si>
  <si>
    <t>ORD0179</t>
  </si>
  <si>
    <t>2025-07-16</t>
  </si>
  <si>
    <t>ORD0180</t>
  </si>
  <si>
    <t>2025-04-17</t>
  </si>
  <si>
    <t>ORD0181</t>
  </si>
  <si>
    <t>2025-06-25</t>
  </si>
  <si>
    <t>ORD0182</t>
  </si>
  <si>
    <t>ORD0183</t>
  </si>
  <si>
    <t>2025-12-02</t>
  </si>
  <si>
    <t>ORD0184</t>
  </si>
  <si>
    <t>ORD0185</t>
  </si>
  <si>
    <t>2025-11-23</t>
  </si>
  <si>
    <t>ORD0186</t>
  </si>
  <si>
    <t>2025-09-12</t>
  </si>
  <si>
    <t>ORD0187</t>
  </si>
  <si>
    <t>2025-10-20</t>
  </si>
  <si>
    <t>ORD0188</t>
  </si>
  <si>
    <t>ORD0189</t>
  </si>
  <si>
    <t>ORD0190</t>
  </si>
  <si>
    <t>ORD0191</t>
  </si>
  <si>
    <t>ORD0192</t>
  </si>
  <si>
    <t>2025-06-23</t>
  </si>
  <si>
    <t>ORD0193</t>
  </si>
  <si>
    <t>ORD0194</t>
  </si>
  <si>
    <t>ORD0195</t>
  </si>
  <si>
    <t>2025-10-27</t>
  </si>
  <si>
    <t>ORD0196</t>
  </si>
  <si>
    <t>2025-12-11</t>
  </si>
  <si>
    <t>ORD0197</t>
  </si>
  <si>
    <t>ORD0198</t>
  </si>
  <si>
    <t>2025-08-31</t>
  </si>
  <si>
    <t>ORD0199</t>
  </si>
  <si>
    <t>2025-05-09</t>
  </si>
  <si>
    <t>ORD0200</t>
  </si>
  <si>
    <t>2025-11-05</t>
  </si>
  <si>
    <t>ORD0201</t>
  </si>
  <si>
    <t>ORD0202</t>
  </si>
  <si>
    <t>2025-05-23</t>
  </si>
  <si>
    <t>ORD0203</t>
  </si>
  <si>
    <t>2025-06-14</t>
  </si>
  <si>
    <t>ORD0204</t>
  </si>
  <si>
    <t>2025-08-10</t>
  </si>
  <si>
    <t>ORD0205</t>
  </si>
  <si>
    <t>ORD0206</t>
  </si>
  <si>
    <t>2025-03-08</t>
  </si>
  <si>
    <t>ORD0207</t>
  </si>
  <si>
    <t>2025-03-17</t>
  </si>
  <si>
    <t>ORD0208</t>
  </si>
  <si>
    <t>ORD0209</t>
  </si>
  <si>
    <t>ORD0210</t>
  </si>
  <si>
    <t>2025-07-20</t>
  </si>
  <si>
    <t>ORD0211</t>
  </si>
  <si>
    <t>ORD0212</t>
  </si>
  <si>
    <t>ORD0213</t>
  </si>
  <si>
    <t>2025-04-21</t>
  </si>
  <si>
    <t>ORD0214</t>
  </si>
  <si>
    <t>2025-10-07</t>
  </si>
  <si>
    <t>ORD0215</t>
  </si>
  <si>
    <t>ORD0216</t>
  </si>
  <si>
    <t>ORD0217</t>
  </si>
  <si>
    <t>2025-05-25</t>
  </si>
  <si>
    <t>ORD0218</t>
  </si>
  <si>
    <t>ORD0219</t>
  </si>
  <si>
    <t>ORD0220</t>
  </si>
  <si>
    <t>2025-12-22</t>
  </si>
  <si>
    <t>ORD0221</t>
  </si>
  <si>
    <t>ORD0222</t>
  </si>
  <si>
    <t>2025-10-21</t>
  </si>
  <si>
    <t>ORD0223</t>
  </si>
  <si>
    <t>ORD0224</t>
  </si>
  <si>
    <t>2025-10-18</t>
  </si>
  <si>
    <t>ORD0225</t>
  </si>
  <si>
    <t>ORD0226</t>
  </si>
  <si>
    <t>ORD0227</t>
  </si>
  <si>
    <t>ORD0228</t>
  </si>
  <si>
    <t>2025-05-30</t>
  </si>
  <si>
    <t>ORD0229</t>
  </si>
  <si>
    <t>2025-05-15</t>
  </si>
  <si>
    <t>ORD0230</t>
  </si>
  <si>
    <t>2025-12-30</t>
  </si>
  <si>
    <t>ORD0231</t>
  </si>
  <si>
    <t>2025-03-20</t>
  </si>
  <si>
    <t>ORD0232</t>
  </si>
  <si>
    <t>ORD0233</t>
  </si>
  <si>
    <t>2025-11-08</t>
  </si>
  <si>
    <t>ORD0234</t>
  </si>
  <si>
    <t>ORD0235</t>
  </si>
  <si>
    <t>2025-01-03</t>
  </si>
  <si>
    <t>ORD0236</t>
  </si>
  <si>
    <t>2025-06-29</t>
  </si>
  <si>
    <t>ORD0237</t>
  </si>
  <si>
    <t>2025-02-05</t>
  </si>
  <si>
    <t>ORD0238</t>
  </si>
  <si>
    <t>ORD0239</t>
  </si>
  <si>
    <t>ORD0240</t>
  </si>
  <si>
    <t>2025-05-10</t>
  </si>
  <si>
    <t>ORD0241</t>
  </si>
  <si>
    <t>ORD0242</t>
  </si>
  <si>
    <t>2025-07-11</t>
  </si>
  <si>
    <t>ORD0243</t>
  </si>
  <si>
    <t>2025-10-14</t>
  </si>
  <si>
    <t>ORD0244</t>
  </si>
  <si>
    <t>ORD0245</t>
  </si>
  <si>
    <t>2025-06-09</t>
  </si>
  <si>
    <t>ORD0246</t>
  </si>
  <si>
    <t>2025-01-05</t>
  </si>
  <si>
    <t>ORD0247</t>
  </si>
  <si>
    <t>2025-03-02</t>
  </si>
  <si>
    <t>ORD0248</t>
  </si>
  <si>
    <t>ORD0249</t>
  </si>
  <si>
    <t>ORD0250</t>
  </si>
  <si>
    <t>2025-10-08</t>
  </si>
  <si>
    <t>ORD0251</t>
  </si>
  <si>
    <t>2025-12-23</t>
  </si>
  <si>
    <t>ORD0252</t>
  </si>
  <si>
    <t>2025-12-12</t>
  </si>
  <si>
    <t>ORD0253</t>
  </si>
  <si>
    <t>2025-04-11</t>
  </si>
  <si>
    <t>ORD0254</t>
  </si>
  <si>
    <t>2025-11-12</t>
  </si>
  <si>
    <t>ORD0255</t>
  </si>
  <si>
    <t>ORD0256</t>
  </si>
  <si>
    <t>2025-03-14</t>
  </si>
  <si>
    <t>ORD0257</t>
  </si>
  <si>
    <t>2025-05-24</t>
  </si>
  <si>
    <t>ORD0258</t>
  </si>
  <si>
    <t>2025-12-05</t>
  </si>
  <si>
    <t>ORD0259</t>
  </si>
  <si>
    <t>2025-07-12</t>
  </si>
  <si>
    <t>ORD0260</t>
  </si>
  <si>
    <t>2025-09-03</t>
  </si>
  <si>
    <t>ORD0261</t>
  </si>
  <si>
    <t>2025-02-27</t>
  </si>
  <si>
    <t>ORD0262</t>
  </si>
  <si>
    <t>2025-09-25</t>
  </si>
  <si>
    <t>ORD0263</t>
  </si>
  <si>
    <t>ORD0264</t>
  </si>
  <si>
    <t>2025-02-11</t>
  </si>
  <si>
    <t>ORD0265</t>
  </si>
  <si>
    <t>2025-09-14</t>
  </si>
  <si>
    <t>ORD0266</t>
  </si>
  <si>
    <t>2025-04-09</t>
  </si>
  <si>
    <t>ORD0267</t>
  </si>
  <si>
    <t>ORD0268</t>
  </si>
  <si>
    <t>ORD0269</t>
  </si>
  <si>
    <t>ORD0270</t>
  </si>
  <si>
    <t>2025-03-06</t>
  </si>
  <si>
    <t>ORD0271</t>
  </si>
  <si>
    <t>2025-12-21</t>
  </si>
  <si>
    <t>ORD0272</t>
  </si>
  <si>
    <t>2025-12-06</t>
  </si>
  <si>
    <t>ORD0273</t>
  </si>
  <si>
    <t>2025-06-15</t>
  </si>
  <si>
    <t>ORD0274</t>
  </si>
  <si>
    <t>2025-10-30</t>
  </si>
  <si>
    <t>ORD0275</t>
  </si>
  <si>
    <t>2025-09-07</t>
  </si>
  <si>
    <t>ORD0276</t>
  </si>
  <si>
    <t>ORD0277</t>
  </si>
  <si>
    <t>2025-11-21</t>
  </si>
  <si>
    <t>ORD0278</t>
  </si>
  <si>
    <t>ORD0279</t>
  </si>
  <si>
    <t>2025-12-08</t>
  </si>
  <si>
    <t>ORD0280</t>
  </si>
  <si>
    <t>2025-06-24</t>
  </si>
  <si>
    <t>ORD0281</t>
  </si>
  <si>
    <t>ORD0282</t>
  </si>
  <si>
    <t>2025-05-18</t>
  </si>
  <si>
    <t>ORD0283</t>
  </si>
  <si>
    <t>2025-03-26</t>
  </si>
  <si>
    <t>ORD0284</t>
  </si>
  <si>
    <t>2025-04-04</t>
  </si>
  <si>
    <t>ORD0285</t>
  </si>
  <si>
    <t>2025-02-24</t>
  </si>
  <si>
    <t>ORD0286</t>
  </si>
  <si>
    <t>ORD0287</t>
  </si>
  <si>
    <t>ORD0288</t>
  </si>
  <si>
    <t>ORD0289</t>
  </si>
  <si>
    <t>2025-09-26</t>
  </si>
  <si>
    <t>ORD0290</t>
  </si>
  <si>
    <t>ORD0291</t>
  </si>
  <si>
    <t>2025-01-21</t>
  </si>
  <si>
    <t>ORD0292</t>
  </si>
  <si>
    <t>ORD0293</t>
  </si>
  <si>
    <t>2025-08-15</t>
  </si>
  <si>
    <t>ORD0294</t>
  </si>
  <si>
    <t>ORD0295</t>
  </si>
  <si>
    <t>ORD0296</t>
  </si>
  <si>
    <t>ORD0297</t>
  </si>
  <si>
    <t>ORD0298</t>
  </si>
  <si>
    <t>ORD0299</t>
  </si>
  <si>
    <t>2025-02-23</t>
  </si>
  <si>
    <t>ORD0300</t>
  </si>
  <si>
    <t>Priority cust</t>
  </si>
  <si>
    <t>HA1</t>
  </si>
  <si>
    <t>COD</t>
  </si>
  <si>
    <t>SP1</t>
  </si>
  <si>
    <t>Regular cust</t>
  </si>
  <si>
    <t>CO1</t>
  </si>
  <si>
    <t>NB</t>
  </si>
  <si>
    <t>EL1</t>
  </si>
  <si>
    <t>DC</t>
  </si>
  <si>
    <t>B01</t>
  </si>
  <si>
    <t>BE1</t>
  </si>
  <si>
    <t>total amount</t>
  </si>
  <si>
    <t>age group</t>
  </si>
  <si>
    <t>totalsale</t>
  </si>
  <si>
    <t>total order</t>
  </si>
  <si>
    <t>average order value</t>
  </si>
  <si>
    <t>Row Labels</t>
  </si>
  <si>
    <t>Grand Total</t>
  </si>
  <si>
    <t>Sum of total amount</t>
  </si>
  <si>
    <t>month</t>
  </si>
  <si>
    <t>Apr</t>
  </si>
  <si>
    <t>Aug</t>
  </si>
  <si>
    <t>Dec</t>
  </si>
  <si>
    <t>Feb</t>
  </si>
  <si>
    <t>Jan</t>
  </si>
  <si>
    <t>Jul</t>
  </si>
  <si>
    <t>Jun</t>
  </si>
  <si>
    <t>Mar</t>
  </si>
  <si>
    <t>May</t>
  </si>
  <si>
    <t>Nov</t>
  </si>
  <si>
    <t>Oct</t>
  </si>
  <si>
    <t>Sep</t>
  </si>
  <si>
    <t>Average of Customer_Rating</t>
  </si>
  <si>
    <t>Sum of returns%</t>
  </si>
  <si>
    <t>adult</t>
  </si>
  <si>
    <t>senior</t>
  </si>
  <si>
    <t>teenager</t>
  </si>
  <si>
    <t>Column Labels</t>
  </si>
  <si>
    <t>E-commerce Sales Dashboard 2025</t>
  </si>
  <si>
    <t>average 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</si>
</sst>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6" x14ac:knownFonts="1">
    <font>
      <sz val="11"/>
      <color theme="1"/>
      <name val="Calibri"/>
      <family val="2"/>
      <scheme val="minor"/>
    </font>
    <font>
      <b/>
      <sz val="12"/>
      <color theme="1"/>
      <name val="Calibri"/>
      <family val="2"/>
      <scheme val="minor"/>
    </font>
    <font>
      <sz val="11"/>
      <color rgb="FFFF0000"/>
      <name val="Calibri"/>
      <family val="2"/>
      <scheme val="minor"/>
    </font>
    <font>
      <sz val="12"/>
      <color theme="1"/>
      <name val="Calibri"/>
      <family val="2"/>
      <scheme val="minor"/>
    </font>
    <font>
      <b/>
      <u/>
      <sz val="20"/>
      <color theme="0"/>
      <name val="Calibri"/>
      <family val="2"/>
      <scheme val="minor"/>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249977111117893"/>
        <bgColor indexed="64"/>
      </patternFill>
    </fill>
  </fills>
  <borders count="7">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0" fontId="0" fillId="2" borderId="0" xfId="0" applyFill="1"/>
    <xf numFmtId="0" fontId="1" fillId="2" borderId="0" xfId="0" applyFont="1" applyFill="1" applyAlignment="1">
      <alignment horizontal="center"/>
    </xf>
    <xf numFmtId="0" fontId="0" fillId="0" borderId="0" xfId="0" applyAlignment="1">
      <alignment horizontal="center" vertical="center"/>
    </xf>
    <xf numFmtId="0" fontId="0" fillId="3" borderId="0" xfId="0"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0" fillId="4" borderId="0" xfId="0" applyFill="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 fontId="0" fillId="0" borderId="0" xfId="0" applyNumberFormat="1"/>
    <xf numFmtId="0" fontId="4" fillId="5" borderId="2"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[ecommerse.xlsx]sales by category!PivotTable1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category'!$A$4:$A$10</c:f>
              <c:strCache>
                <c:ptCount val="6"/>
                <c:pt idx="0">
                  <c:v>Sports</c:v>
                </c:pt>
                <c:pt idx="1">
                  <c:v>Clothing</c:v>
                </c:pt>
                <c:pt idx="2">
                  <c:v>Books</c:v>
                </c:pt>
                <c:pt idx="3">
                  <c:v>Beauty</c:v>
                </c:pt>
                <c:pt idx="4">
                  <c:v>Electronics</c:v>
                </c:pt>
                <c:pt idx="5">
                  <c:v>Home Appliances</c:v>
                </c:pt>
              </c:strCache>
            </c:strRef>
          </c:cat>
          <c:val>
            <c:numRef>
              <c:f>'sales by category'!$B$4:$B$10</c:f>
              <c:numCache>
                <c:formatCode>0.00%</c:formatCode>
                <c:ptCount val="6"/>
                <c:pt idx="0">
                  <c:v>0.19604198844370568</c:v>
                </c:pt>
                <c:pt idx="1">
                  <c:v>0.1879364243102028</c:v>
                </c:pt>
                <c:pt idx="2">
                  <c:v>0.17969997511677455</c:v>
                </c:pt>
                <c:pt idx="3">
                  <c:v>0.1724335301234613</c:v>
                </c:pt>
                <c:pt idx="4">
                  <c:v>0.1386329346872533</c:v>
                </c:pt>
                <c:pt idx="5">
                  <c:v>0.12525514731860243</c:v>
                </c:pt>
              </c:numCache>
            </c:numRef>
          </c:val>
          <c:extLst>
            <c:ext xmlns:c16="http://schemas.microsoft.com/office/drawing/2014/chart" uri="{C3380CC4-5D6E-409C-BE32-E72D297353CC}">
              <c16:uniqueId val="{00000000-EA0A-4AD5-A8E1-290A33F40F40}"/>
            </c:ext>
          </c:extLst>
        </c:ser>
        <c:dLbls>
          <c:dLblPos val="outEnd"/>
          <c:showLegendKey val="0"/>
          <c:showVal val="1"/>
          <c:showCatName val="0"/>
          <c:showSerName val="0"/>
          <c:showPercent val="0"/>
          <c:showBubbleSize val="0"/>
        </c:dLbls>
        <c:gapWidth val="219"/>
        <c:overlap val="-27"/>
        <c:axId val="663740943"/>
        <c:axId val="663757743"/>
      </c:barChart>
      <c:catAx>
        <c:axId val="66374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757743"/>
        <c:crosses val="autoZero"/>
        <c:auto val="1"/>
        <c:lblAlgn val="ctr"/>
        <c:lblOffset val="100"/>
        <c:noMultiLvlLbl val="0"/>
      </c:catAx>
      <c:valAx>
        <c:axId val="6637577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740943"/>
        <c:crosses val="autoZero"/>
        <c:crossBetween val="between"/>
      </c:valAx>
      <c:spPr>
        <a:noFill/>
        <a:ln>
          <a:noFill/>
        </a:ln>
        <a:effectLst/>
      </c:spPr>
    </c:plotArea>
    <c:legend>
      <c:legendPos val="r"/>
      <c:layout>
        <c:manualLayout>
          <c:xMode val="edge"/>
          <c:yMode val="edge"/>
          <c:x val="0.88359251968503938"/>
          <c:y val="3.3483522892971698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[ecommerse.xlsx]MONTHLY TREND!PivotTable1</c:name>
    <c:fmtId val="1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4941E-2"/>
              <c:y val="4.170129775444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6729221347331582E-2"/>
              <c:y val="1.8553149606299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5017E-2"/>
              <c:y val="4.1701297754447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3395888013998355E-2"/>
              <c:y val="3.7071668124817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492E-2"/>
              <c:y val="3.2442038495188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TREND'!$C$18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1"/>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2-71F7-48E8-B36A-31083BB6192D}"/>
              </c:ext>
            </c:extLst>
          </c:dPt>
          <c:dPt>
            <c:idx val="3"/>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3-71F7-48E8-B36A-31083BB6192D}"/>
              </c:ext>
            </c:extLst>
          </c:dPt>
          <c:dPt>
            <c:idx val="5"/>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4-71F7-48E8-B36A-31083BB6192D}"/>
              </c:ext>
            </c:extLst>
          </c:dPt>
          <c:dPt>
            <c:idx val="7"/>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5-71F7-48E8-B36A-31083BB6192D}"/>
              </c:ext>
            </c:extLst>
          </c:dPt>
          <c:dPt>
            <c:idx val="10"/>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6-71F7-48E8-B36A-31083BB6192D}"/>
              </c:ext>
            </c:extLst>
          </c:dPt>
          <c:dLbls>
            <c:dLbl>
              <c:idx val="1"/>
              <c:layout>
                <c:manualLayout>
                  <c:x val="-5.5062554680664941E-2"/>
                  <c:y val="4.170129775444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F7-48E8-B36A-31083BB6192D}"/>
                </c:ext>
              </c:extLst>
            </c:dLbl>
            <c:dLbl>
              <c:idx val="3"/>
              <c:layout>
                <c:manualLayout>
                  <c:x val="-4.6729221347331582E-2"/>
                  <c:y val="1.8553149606299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F7-48E8-B36A-31083BB6192D}"/>
                </c:ext>
              </c:extLst>
            </c:dLbl>
            <c:dLbl>
              <c:idx val="5"/>
              <c:layout>
                <c:manualLayout>
                  <c:x val="-5.5062554680665017E-2"/>
                  <c:y val="4.17012977544473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F7-48E8-B36A-31083BB6192D}"/>
                </c:ext>
              </c:extLst>
            </c:dLbl>
            <c:dLbl>
              <c:idx val="7"/>
              <c:layout>
                <c:manualLayout>
                  <c:x val="-6.3395888013998355E-2"/>
                  <c:y val="3.70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F7-48E8-B36A-31083BB6192D}"/>
                </c:ext>
              </c:extLst>
            </c:dLbl>
            <c:dLbl>
              <c:idx val="10"/>
              <c:layout>
                <c:manualLayout>
                  <c:x val="-5.506255468066492E-2"/>
                  <c:y val="3.24420384951880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1F7-48E8-B36A-31083BB619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'MONTHLY TREND'!$B$19:$B$31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TREND'!$C$19:$C$31</c:f>
              <c:numCache>
                <c:formatCode>General</c:formatCode>
                <c:ptCount val="12"/>
                <c:pt idx="0">
                  <c:v>154787.84999999998</c:v>
                </c:pt>
                <c:pt idx="1">
                  <c:v>128771.67000000003</c:v>
                </c:pt>
                <c:pt idx="2">
                  <c:v>222931.26</c:v>
                </c:pt>
                <c:pt idx="3">
                  <c:v>135142.31999999998</c:v>
                </c:pt>
                <c:pt idx="4">
                  <c:v>174657.56</c:v>
                </c:pt>
                <c:pt idx="5">
                  <c:v>175342.99</c:v>
                </c:pt>
                <c:pt idx="6">
                  <c:v>258818.07999999996</c:v>
                </c:pt>
                <c:pt idx="7">
                  <c:v>232884.49999999997</c:v>
                </c:pt>
                <c:pt idx="8">
                  <c:v>245417.71999999991</c:v>
                </c:pt>
                <c:pt idx="9">
                  <c:v>277007.34999999998</c:v>
                </c:pt>
                <c:pt idx="10">
                  <c:v>117197.24999999997</c:v>
                </c:pt>
                <c:pt idx="11">
                  <c:v>200454.07</c:v>
                </c:pt>
              </c:numCache>
            </c:numRef>
          </c:val>
          <c:smooth val="0"/>
          <c:extLst>
            <c:ext xmlns:c16="http://schemas.microsoft.com/office/drawing/2014/chart" uri="{C3380CC4-5D6E-409C-BE32-E72D297353CC}">
              <c16:uniqueId val="{00000000-71F7-48E8-B36A-31083BB6192D}"/>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04473984"/>
        <c:axId val="904485024"/>
      </c:lineChart>
      <c:catAx>
        <c:axId val="9044739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04485024"/>
        <c:crosses val="autoZero"/>
        <c:auto val="1"/>
        <c:lblAlgn val="ctr"/>
        <c:lblOffset val="100"/>
        <c:noMultiLvlLbl val="0"/>
      </c:catAx>
      <c:valAx>
        <c:axId val="904485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0447398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[ecommerse.xlsx]TOP CITY!PivotTable2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CITY'!$E$14</c:f>
              <c:strCache>
                <c:ptCount val="1"/>
                <c:pt idx="0">
                  <c:v>Total</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CITY'!$D$15:$D$21</c:f>
              <c:strCache>
                <c:ptCount val="6"/>
                <c:pt idx="0">
                  <c:v>Bangalore</c:v>
                </c:pt>
                <c:pt idx="1">
                  <c:v>Chennai</c:v>
                </c:pt>
                <c:pt idx="2">
                  <c:v>Delhi</c:v>
                </c:pt>
                <c:pt idx="3">
                  <c:v>Hyderabad</c:v>
                </c:pt>
                <c:pt idx="4">
                  <c:v>Mumbai</c:v>
                </c:pt>
                <c:pt idx="5">
                  <c:v>Pune</c:v>
                </c:pt>
              </c:strCache>
            </c:strRef>
          </c:cat>
          <c:val>
            <c:numRef>
              <c:f>'TOP CITY'!$E$15:$E$21</c:f>
              <c:numCache>
                <c:formatCode>General</c:formatCode>
                <c:ptCount val="6"/>
                <c:pt idx="0">
                  <c:v>464844.0199999999</c:v>
                </c:pt>
                <c:pt idx="1">
                  <c:v>351332.57999999984</c:v>
                </c:pt>
                <c:pt idx="2">
                  <c:v>399486.76000000007</c:v>
                </c:pt>
                <c:pt idx="3">
                  <c:v>274755.36999999994</c:v>
                </c:pt>
                <c:pt idx="4">
                  <c:v>430612.92000000027</c:v>
                </c:pt>
                <c:pt idx="5">
                  <c:v>402380.9699999998</c:v>
                </c:pt>
              </c:numCache>
            </c:numRef>
          </c:val>
          <c:extLst>
            <c:ext xmlns:c16="http://schemas.microsoft.com/office/drawing/2014/chart" uri="{C3380CC4-5D6E-409C-BE32-E72D297353CC}">
              <c16:uniqueId val="{00000000-6C8C-40B4-8F9C-DBA5D473F281}"/>
            </c:ext>
          </c:extLst>
        </c:ser>
        <c:dLbls>
          <c:dLblPos val="outEnd"/>
          <c:showLegendKey val="0"/>
          <c:showVal val="1"/>
          <c:showCatName val="0"/>
          <c:showSerName val="0"/>
          <c:showPercent val="0"/>
          <c:showBubbleSize val="0"/>
        </c:dLbls>
        <c:gapWidth val="182"/>
        <c:axId val="688641872"/>
        <c:axId val="688644272"/>
      </c:barChart>
      <c:catAx>
        <c:axId val="68864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44272"/>
        <c:crosses val="autoZero"/>
        <c:auto val="1"/>
        <c:lblAlgn val="ctr"/>
        <c:lblOffset val="100"/>
        <c:noMultiLvlLbl val="0"/>
      </c:catAx>
      <c:valAx>
        <c:axId val="68864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418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[ecommerse.xlsx]PAYMENT METHOD!PivotTable6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PAYMENT METHOD</a:t>
            </a:r>
            <a:endParaRPr lang="en-US"/>
          </a:p>
        </c:rich>
      </c:tx>
      <c:layout>
        <c:manualLayout>
          <c:xMode val="edge"/>
          <c:yMode val="edge"/>
          <c:x val="7.200678040244967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699977317650109"/>
              <c:y val="0.21587662033394217"/>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43219597550305"/>
                  <c:h val="0.24260406296912546"/>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8.2490594925634292E-2"/>
          <c:y val="0.17171296296296298"/>
          <c:w val="0.46641666666666665"/>
          <c:h val="0.77736111111111106"/>
        </c:manualLayout>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B0D-4B08-AF5B-7E80318618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07-4FB2-A2D8-FA3C489044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07-4FB2-A2D8-FA3C489044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07-4FB2-A2D8-FA3C489044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207-4FB2-A2D8-FA3C48904400}"/>
              </c:ext>
            </c:extLst>
          </c:dPt>
          <c:dLbls>
            <c:dLbl>
              <c:idx val="0"/>
              <c:layout>
                <c:manualLayout>
                  <c:x val="-0.14699977317650109"/>
                  <c:y val="0.21587662033394217"/>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43219597550305"/>
                      <c:h val="0.24260406296912546"/>
                    </c:manualLayout>
                  </c15:layout>
                </c:ext>
                <c:ext xmlns:c16="http://schemas.microsoft.com/office/drawing/2014/chart" uri="{C3380CC4-5D6E-409C-BE32-E72D297353CC}">
                  <c16:uniqueId val="{00000002-FB0D-4B08-AF5B-7E803186189A}"/>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METHOD'!$A$4:$A$9</c:f>
              <c:strCache>
                <c:ptCount val="5"/>
                <c:pt idx="0">
                  <c:v>Cash on Delivery</c:v>
                </c:pt>
                <c:pt idx="1">
                  <c:v>Credit Card</c:v>
                </c:pt>
                <c:pt idx="2">
                  <c:v>Debit Card</c:v>
                </c:pt>
                <c:pt idx="3">
                  <c:v>Net Banking</c:v>
                </c:pt>
                <c:pt idx="4">
                  <c:v>UPI</c:v>
                </c:pt>
              </c:strCache>
            </c:strRef>
          </c:cat>
          <c:val>
            <c:numRef>
              <c:f>'PAYMENT METHOD'!$B$4:$B$9</c:f>
              <c:numCache>
                <c:formatCode>0.00%</c:formatCode>
                <c:ptCount val="5"/>
                <c:pt idx="0">
                  <c:v>0.2395398325761009</c:v>
                </c:pt>
                <c:pt idx="1">
                  <c:v>0.20523332614075243</c:v>
                </c:pt>
                <c:pt idx="2">
                  <c:v>0.14469515535299107</c:v>
                </c:pt>
                <c:pt idx="3">
                  <c:v>0.20028917205416572</c:v>
                </c:pt>
                <c:pt idx="4">
                  <c:v>0.21024251387598988</c:v>
                </c:pt>
              </c:numCache>
            </c:numRef>
          </c:val>
          <c:extLst>
            <c:ext xmlns:c16="http://schemas.microsoft.com/office/drawing/2014/chart" uri="{C3380CC4-5D6E-409C-BE32-E72D297353CC}">
              <c16:uniqueId val="{00000000-FB0D-4B08-AF5B-7E803186189A}"/>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6750874890638658"/>
          <c:y val="2.2486876640419949E-2"/>
          <c:w val="0.21041659915967295"/>
          <c:h val="0.473687421204603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[ecommerse.xlsx]DELIVERY VS RATING!PivotTable7</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0" i="0" u="none" strike="noStrike" cap="none" baseline="0"/>
              <a:t>DELIVERY VS RATING</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'DELIVERY VS RATING'!$B$3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'DELIVERY VS RATING'!$A$4:$A$14</c:f>
              <c:strCache>
                <c:ptCount val="10"/>
                <c:pt idx="0">
                  <c:v>1</c:v>
                </c:pt>
                <c:pt idx="1">
                  <c:v>2</c:v>
                </c:pt>
                <c:pt idx="2">
                  <c:v>3</c:v>
                </c:pt>
                <c:pt idx="3">
                  <c:v>4</c:v>
                </c:pt>
                <c:pt idx="4">
                  <c:v>5</c:v>
                </c:pt>
                <c:pt idx="5">
                  <c:v>6</c:v>
                </c:pt>
                <c:pt idx="6">
                  <c:v>7</c:v>
                </c:pt>
                <c:pt idx="7">
                  <c:v>8</c:v>
                </c:pt>
                <c:pt idx="8">
                  <c:v>9</c:v>
                </c:pt>
                <c:pt idx="9">
                  <c:v>10</c:v>
                </c:pt>
              </c:strCache>
            </c:strRef>
          </c:cat>
          <c:val>
            <c:numRef>
              <c:f>'DELIVERY VS RATING'!$B$4:$B$14</c:f>
              <c:numCache>
                <c:formatCode>General</c:formatCode>
                <c:ptCount val="10"/>
                <c:pt idx="0">
                  <c:v>3.3103448275862069</c:v>
                </c:pt>
                <c:pt idx="1">
                  <c:v>2.7333333333333334</c:v>
                </c:pt>
                <c:pt idx="2">
                  <c:v>2.9642857142857144</c:v>
                </c:pt>
                <c:pt idx="3">
                  <c:v>2.8846153846153846</c:v>
                </c:pt>
                <c:pt idx="4">
                  <c:v>2.48</c:v>
                </c:pt>
                <c:pt idx="5">
                  <c:v>2.896551724137931</c:v>
                </c:pt>
                <c:pt idx="6">
                  <c:v>2.6551724137931036</c:v>
                </c:pt>
                <c:pt idx="7">
                  <c:v>2.6756756756756759</c:v>
                </c:pt>
                <c:pt idx="8">
                  <c:v>2.59375</c:v>
                </c:pt>
                <c:pt idx="9">
                  <c:v>2.7142857142857144</c:v>
                </c:pt>
              </c:numCache>
            </c:numRef>
          </c:val>
          <c:smooth val="0"/>
          <c:extLst>
            <c:ext xmlns:c16="http://schemas.microsoft.com/office/drawing/2014/chart" uri="{C3380CC4-5D6E-409C-BE32-E72D297353CC}">
              <c16:uniqueId val="{00000000-0A96-4591-A8C0-69BA9F4FBA8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63751023"/>
        <c:axId val="663771183"/>
      </c:lineChart>
      <c:catAx>
        <c:axId val="66375102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63771183"/>
        <c:crosses val="autoZero"/>
        <c:auto val="1"/>
        <c:lblAlgn val="ctr"/>
        <c:lblOffset val="100"/>
        <c:noMultiLvlLbl val="0"/>
      </c:catAx>
      <c:valAx>
        <c:axId val="663771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6375102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[ecommerse.xlsx]RETURNS!PivotTable8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RETURNS!$A$4:$A$10</c:f>
              <c:strCache>
                <c:ptCount val="6"/>
                <c:pt idx="0">
                  <c:v>Beauty</c:v>
                </c:pt>
                <c:pt idx="1">
                  <c:v>Books</c:v>
                </c:pt>
                <c:pt idx="2">
                  <c:v>Clothing</c:v>
                </c:pt>
                <c:pt idx="3">
                  <c:v>Electronics</c:v>
                </c:pt>
                <c:pt idx="4">
                  <c:v>Home Appliances</c:v>
                </c:pt>
                <c:pt idx="5">
                  <c:v>Sports</c:v>
                </c:pt>
              </c:strCache>
            </c:strRef>
          </c:cat>
          <c:val>
            <c:numRef>
              <c:f>RETURNS!$B$4:$B$10</c:f>
              <c:numCache>
                <c:formatCode>0.00%</c:formatCode>
                <c:ptCount val="6"/>
                <c:pt idx="0">
                  <c:v>0.15418261344997267</c:v>
                </c:pt>
                <c:pt idx="1">
                  <c:v>8.9939857845817386E-2</c:v>
                </c:pt>
                <c:pt idx="2">
                  <c:v>0.20338983050847459</c:v>
                </c:pt>
                <c:pt idx="3">
                  <c:v>0.17632586112629853</c:v>
                </c:pt>
                <c:pt idx="4">
                  <c:v>0.13504647348277748</c:v>
                </c:pt>
                <c:pt idx="5">
                  <c:v>0.24111536358665939</c:v>
                </c:pt>
              </c:numCache>
            </c:numRef>
          </c:val>
          <c:extLst>
            <c:ext xmlns:c16="http://schemas.microsoft.com/office/drawing/2014/chart" uri="{C3380CC4-5D6E-409C-BE32-E72D297353CC}">
              <c16:uniqueId val="{00000000-A144-4534-8D46-D02E55A9D5CA}"/>
            </c:ext>
          </c:extLst>
        </c:ser>
        <c:dLbls>
          <c:dLblPos val="outEnd"/>
          <c:showLegendKey val="0"/>
          <c:showVal val="1"/>
          <c:showCatName val="0"/>
          <c:showSerName val="0"/>
          <c:showPercent val="0"/>
          <c:showBubbleSize val="0"/>
        </c:dLbls>
        <c:gapWidth val="219"/>
        <c:overlap val="-27"/>
        <c:axId val="663712143"/>
        <c:axId val="663737583"/>
      </c:barChart>
      <c:catAx>
        <c:axId val="66371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737583"/>
        <c:crosses val="autoZero"/>
        <c:auto val="1"/>
        <c:lblAlgn val="ctr"/>
        <c:lblOffset val="100"/>
        <c:noMultiLvlLbl val="0"/>
      </c:catAx>
      <c:valAx>
        <c:axId val="663737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71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[ecommerse.xlsx]CUSTOMER TYPE!PivotTable9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8295341207349081"/>
              <c:y val="-0.1636490230387868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'CUSTOMER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85-4A66-ACE7-C2984B10BE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38E-4F1B-87E2-C12A009FE378}"/>
              </c:ext>
            </c:extLst>
          </c:dPt>
          <c:dLbls>
            <c:dLbl>
              <c:idx val="1"/>
              <c:layout>
                <c:manualLayout>
                  <c:x val="0.18295341207349081"/>
                  <c:y val="-0.163649023038786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38E-4F1B-87E2-C12A009FE378}"/>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TYPE'!$A$4:$A$6</c:f>
              <c:strCache>
                <c:ptCount val="2"/>
                <c:pt idx="0">
                  <c:v>Priority cust</c:v>
                </c:pt>
                <c:pt idx="1">
                  <c:v>Regular cust</c:v>
                </c:pt>
              </c:strCache>
            </c:strRef>
          </c:cat>
          <c:val>
            <c:numRef>
              <c:f>'CUSTOMER TYPE'!$B$4:$B$6</c:f>
              <c:numCache>
                <c:formatCode>General</c:formatCode>
                <c:ptCount val="2"/>
                <c:pt idx="0">
                  <c:v>585832.46000000008</c:v>
                </c:pt>
                <c:pt idx="1">
                  <c:v>1737580.1600000013</c:v>
                </c:pt>
              </c:numCache>
            </c:numRef>
          </c:val>
          <c:extLst>
            <c:ext xmlns:c16="http://schemas.microsoft.com/office/drawing/2014/chart" uri="{C3380CC4-5D6E-409C-BE32-E72D297353CC}">
              <c16:uniqueId val="{00000000-138E-4F1B-87E2-C12A009FE378}"/>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5"/>
          <c:y val="4.9976305045202715E-2"/>
          <c:w val="0.2166666666666666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[ecommerse.xlsx]AGE GROUP!PivotTable10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sales:age</a:t>
            </a:r>
            <a:r>
              <a:rPr lang="en-US" baseline="0"/>
              <a:t>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GROUP'!$B$3:$B$4</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GROUP'!$B$5:$B$7</c:f>
              <c:numCache>
                <c:formatCode>General</c:formatCode>
                <c:ptCount val="3"/>
                <c:pt idx="0">
                  <c:v>317827.82000000007</c:v>
                </c:pt>
                <c:pt idx="1">
                  <c:v>23413.780000000002</c:v>
                </c:pt>
                <c:pt idx="2">
                  <c:v>59392.639999999999</c:v>
                </c:pt>
              </c:numCache>
            </c:numRef>
          </c:val>
          <c:extLst>
            <c:ext xmlns:c16="http://schemas.microsoft.com/office/drawing/2014/chart" uri="{C3380CC4-5D6E-409C-BE32-E72D297353CC}">
              <c16:uniqueId val="{00000000-91ED-4BC4-A3EE-94C4B5F75E5E}"/>
            </c:ext>
          </c:extLst>
        </c:ser>
        <c:ser>
          <c:idx val="1"/>
          <c:order val="1"/>
          <c:tx>
            <c:strRef>
              <c:f>'AGE GROUP'!$C$3:$C$4</c:f>
              <c:strCache>
                <c:ptCount val="1"/>
                <c:pt idx="0">
                  <c:v>Books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GROUP'!$C$5:$C$7</c:f>
              <c:numCache>
                <c:formatCode>General</c:formatCode>
                <c:ptCount val="3"/>
                <c:pt idx="0">
                  <c:v>309447.1999999999</c:v>
                </c:pt>
                <c:pt idx="1">
                  <c:v>86849.969999999987</c:v>
                </c:pt>
                <c:pt idx="2">
                  <c:v>21220.02</c:v>
                </c:pt>
              </c:numCache>
            </c:numRef>
          </c:val>
          <c:extLst>
            <c:ext xmlns:c16="http://schemas.microsoft.com/office/drawing/2014/chart" uri="{C3380CC4-5D6E-409C-BE32-E72D297353CC}">
              <c16:uniqueId val="{0000000C-91ED-4BC4-A3EE-94C4B5F75E5E}"/>
            </c:ext>
          </c:extLst>
        </c:ser>
        <c:ser>
          <c:idx val="2"/>
          <c:order val="2"/>
          <c:tx>
            <c:strRef>
              <c:f>'AGE GROUP'!$D$3:$D$4</c:f>
              <c:strCache>
                <c:ptCount val="1"/>
                <c:pt idx="0">
                  <c:v>Clothing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GROUP'!$D$5:$D$7</c:f>
              <c:numCache>
                <c:formatCode>General</c:formatCode>
                <c:ptCount val="3"/>
                <c:pt idx="0">
                  <c:v>264837.16999999993</c:v>
                </c:pt>
                <c:pt idx="1">
                  <c:v>122392.43999999999</c:v>
                </c:pt>
                <c:pt idx="2">
                  <c:v>49424.250000000007</c:v>
                </c:pt>
              </c:numCache>
            </c:numRef>
          </c:val>
          <c:extLst>
            <c:ext xmlns:c16="http://schemas.microsoft.com/office/drawing/2014/chart" uri="{C3380CC4-5D6E-409C-BE32-E72D297353CC}">
              <c16:uniqueId val="{0000000D-91ED-4BC4-A3EE-94C4B5F75E5E}"/>
            </c:ext>
          </c:extLst>
        </c:ser>
        <c:ser>
          <c:idx val="3"/>
          <c:order val="3"/>
          <c:tx>
            <c:strRef>
              <c:f>'AGE GROUP'!$E$3:$E$4</c:f>
              <c:strCache>
                <c:ptCount val="1"/>
                <c:pt idx="0">
                  <c:v>Electronics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GROUP'!$E$5:$E$7</c:f>
              <c:numCache>
                <c:formatCode>General</c:formatCode>
                <c:ptCount val="3"/>
                <c:pt idx="0">
                  <c:v>232047.58000000005</c:v>
                </c:pt>
                <c:pt idx="1">
                  <c:v>54609.229999999996</c:v>
                </c:pt>
                <c:pt idx="2">
                  <c:v>35444.700000000004</c:v>
                </c:pt>
              </c:numCache>
            </c:numRef>
          </c:val>
          <c:extLst>
            <c:ext xmlns:c16="http://schemas.microsoft.com/office/drawing/2014/chart" uri="{C3380CC4-5D6E-409C-BE32-E72D297353CC}">
              <c16:uniqueId val="{0000000E-91ED-4BC4-A3EE-94C4B5F75E5E}"/>
            </c:ext>
          </c:extLst>
        </c:ser>
        <c:ser>
          <c:idx val="4"/>
          <c:order val="4"/>
          <c:tx>
            <c:strRef>
              <c:f>'AGE GROUP'!$F$3:$F$4</c:f>
              <c:strCache>
                <c:ptCount val="1"/>
                <c:pt idx="0">
                  <c:v>Home Appliances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GROUP'!$F$5:$F$7</c:f>
              <c:numCache>
                <c:formatCode>General</c:formatCode>
                <c:ptCount val="3"/>
                <c:pt idx="0">
                  <c:v>229194.72000000003</c:v>
                </c:pt>
                <c:pt idx="1">
                  <c:v>38782.639999999999</c:v>
                </c:pt>
                <c:pt idx="2">
                  <c:v>23042.03</c:v>
                </c:pt>
              </c:numCache>
            </c:numRef>
          </c:val>
          <c:extLst>
            <c:ext xmlns:c16="http://schemas.microsoft.com/office/drawing/2014/chart" uri="{C3380CC4-5D6E-409C-BE32-E72D297353CC}">
              <c16:uniqueId val="{0000000F-91ED-4BC4-A3EE-94C4B5F75E5E}"/>
            </c:ext>
          </c:extLst>
        </c:ser>
        <c:ser>
          <c:idx val="5"/>
          <c:order val="5"/>
          <c:tx>
            <c:strRef>
              <c:f>'AGE GROUP'!$G$3:$G$4</c:f>
              <c:strCache>
                <c:ptCount val="1"/>
                <c:pt idx="0">
                  <c:v>Sports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GROUP'!$G$5:$G$7</c:f>
              <c:numCache>
                <c:formatCode>General</c:formatCode>
                <c:ptCount val="3"/>
                <c:pt idx="0">
                  <c:v>360955.6399999999</c:v>
                </c:pt>
                <c:pt idx="1">
                  <c:v>58280.289999999994</c:v>
                </c:pt>
                <c:pt idx="2">
                  <c:v>36250.5</c:v>
                </c:pt>
              </c:numCache>
            </c:numRef>
          </c:val>
          <c:extLst>
            <c:ext xmlns:c16="http://schemas.microsoft.com/office/drawing/2014/chart" uri="{C3380CC4-5D6E-409C-BE32-E72D297353CC}">
              <c16:uniqueId val="{00000010-91ED-4BC4-A3EE-94C4B5F75E5E}"/>
            </c:ext>
          </c:extLst>
        </c:ser>
        <c:dLbls>
          <c:showLegendKey val="0"/>
          <c:showVal val="0"/>
          <c:showCatName val="0"/>
          <c:showSerName val="0"/>
          <c:showPercent val="0"/>
          <c:showBubbleSize val="0"/>
        </c:dLbls>
        <c:gapWidth val="100"/>
        <c:overlap val="-24"/>
        <c:axId val="728506592"/>
        <c:axId val="728513792"/>
      </c:barChart>
      <c:catAx>
        <c:axId val="728506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513792"/>
        <c:crosses val="autoZero"/>
        <c:auto val="1"/>
        <c:lblAlgn val="ctr"/>
        <c:lblOffset val="100"/>
        <c:noMultiLvlLbl val="0"/>
      </c:catAx>
      <c:valAx>
        <c:axId val="728513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50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[ecommerse.xlsx]sales by category!PivotTable1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7571490052693"/>
          <c:y val="0.23890499194847023"/>
          <c:w val="0.73245455811245286"/>
          <c:h val="0.54091267577060109"/>
        </c:manualLayout>
      </c:layout>
      <c:barChart>
        <c:barDir val="col"/>
        <c:grouping val="clustered"/>
        <c:varyColors val="0"/>
        <c:ser>
          <c:idx val="0"/>
          <c:order val="0"/>
          <c:tx>
            <c:strRef>
              <c:f>'sales by category'!$B$3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category'!$A$4:$A$10</c:f>
              <c:strCache>
                <c:ptCount val="6"/>
                <c:pt idx="0">
                  <c:v>Sports</c:v>
                </c:pt>
                <c:pt idx="1">
                  <c:v>Clothing</c:v>
                </c:pt>
                <c:pt idx="2">
                  <c:v>Books</c:v>
                </c:pt>
                <c:pt idx="3">
                  <c:v>Beauty</c:v>
                </c:pt>
                <c:pt idx="4">
                  <c:v>Electronics</c:v>
                </c:pt>
                <c:pt idx="5">
                  <c:v>Home Appliances</c:v>
                </c:pt>
              </c:strCache>
            </c:strRef>
          </c:cat>
          <c:val>
            <c:numRef>
              <c:f>'sales by category'!$B$4:$B$10</c:f>
              <c:numCache>
                <c:formatCode>0.00%</c:formatCode>
                <c:ptCount val="6"/>
                <c:pt idx="0">
                  <c:v>0.19604198844370568</c:v>
                </c:pt>
                <c:pt idx="1">
                  <c:v>0.1879364243102028</c:v>
                </c:pt>
                <c:pt idx="2">
                  <c:v>0.17969997511677455</c:v>
                </c:pt>
                <c:pt idx="3">
                  <c:v>0.1724335301234613</c:v>
                </c:pt>
                <c:pt idx="4">
                  <c:v>0.1386329346872533</c:v>
                </c:pt>
                <c:pt idx="5">
                  <c:v>0.12525514731860243</c:v>
                </c:pt>
              </c:numCache>
            </c:numRef>
          </c:val>
          <c:extLst>
            <c:ext xmlns:c16="http://schemas.microsoft.com/office/drawing/2014/chart" uri="{C3380CC4-5D6E-409C-BE32-E72D297353CC}">
              <c16:uniqueId val="{00000000-C6FD-4AD3-9AB8-E2EBB8AE021C}"/>
            </c:ext>
          </c:extLst>
        </c:ser>
        <c:dLbls>
          <c:dLblPos val="outEnd"/>
          <c:showLegendKey val="0"/>
          <c:showVal val="1"/>
          <c:showCatName val="0"/>
          <c:showSerName val="0"/>
          <c:showPercent val="0"/>
          <c:showBubbleSize val="0"/>
        </c:dLbls>
        <c:gapWidth val="219"/>
        <c:overlap val="-27"/>
        <c:axId val="663740943"/>
        <c:axId val="663757743"/>
      </c:barChart>
      <c:catAx>
        <c:axId val="66374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757743"/>
        <c:crosses val="autoZero"/>
        <c:auto val="1"/>
        <c:lblAlgn val="ctr"/>
        <c:lblOffset val="100"/>
        <c:noMultiLvlLbl val="0"/>
      </c:catAx>
      <c:valAx>
        <c:axId val="6637577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740943"/>
        <c:crosses val="autoZero"/>
        <c:crossBetween val="between"/>
      </c:valAx>
      <c:spPr>
        <a:noFill/>
        <a:ln>
          <a:noFill/>
        </a:ln>
        <a:effectLst/>
      </c:spPr>
    </c:plotArea>
    <c:legend>
      <c:legendPos val="r"/>
      <c:layout>
        <c:manualLayout>
          <c:xMode val="edge"/>
          <c:yMode val="edge"/>
          <c:x val="0.88359251968503938"/>
          <c:y val="3.3483522892971698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[ecommerse.xlsx]PAYMENT METHOD!PivotTable6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PAYMENT METHOD</a:t>
            </a:r>
            <a:endParaRPr lang="en-US"/>
          </a:p>
        </c:rich>
      </c:tx>
      <c:layout>
        <c:manualLayout>
          <c:xMode val="edge"/>
          <c:yMode val="edge"/>
          <c:x val="6.4203452919055159E-2"/>
          <c:y val="4.3777975641299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699977317650109"/>
              <c:y val="0.21587662033394217"/>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43219597550305"/>
                  <c:h val="0.24260406296912546"/>
                </c:manualLayout>
              </c15:layout>
            </c:ext>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4699977317650109"/>
              <c:y val="0.21587662033394217"/>
            </c:manualLayout>
          </c:layout>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43219597550305"/>
                  <c:h val="0.24260406296912546"/>
                </c:manualLayout>
              </c15:layout>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43219597550305"/>
                  <c:h val="0.24260406296912546"/>
                </c:manualLayout>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84803973494345"/>
                  <c:h val="0.26057937202294151"/>
                </c:manualLayout>
              </c15:layout>
            </c:ext>
          </c:extLst>
        </c:dLbl>
      </c:pivotFmt>
      <c:pivotFmt>
        <c:idx val="12"/>
        <c:spPr>
          <a:solidFill>
            <a:schemeClr val="accent1"/>
          </a:solidFill>
          <a:ln w="19050">
            <a:solidFill>
              <a:schemeClr val="lt1"/>
            </a:solidFill>
          </a:ln>
          <a:effectLst/>
        </c:spPr>
        <c:dLbl>
          <c:idx val="0"/>
          <c:layout>
            <c:manualLayout>
              <c:x val="-3.6859222728963977E-3"/>
              <c:y val="-9.5309783061426154E-3"/>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s>
    <c:plotArea>
      <c:layout>
        <c:manualLayout>
          <c:layoutTarget val="inner"/>
          <c:xMode val="edge"/>
          <c:yMode val="edge"/>
          <c:x val="2.6750764311809429E-2"/>
          <c:y val="0.14936275463365856"/>
          <c:w val="0.68513065574347021"/>
          <c:h val="0.85063724536634144"/>
        </c:manualLayout>
      </c:layout>
      <c:doughnutChart>
        <c:varyColors val="1"/>
        <c:ser>
          <c:idx val="0"/>
          <c:order val="0"/>
          <c:tx>
            <c:strRef>
              <c:f>'PAYMENT METHOD'!$B$3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434-4FED-84E1-F95F6CCC3A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34-4FED-84E1-F95F6CCC3A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34-4FED-84E1-F95F6CCC3A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34-4FED-84E1-F95F6CCC3A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34-4FED-84E1-F95F6CCC3A0C}"/>
              </c:ext>
            </c:extLst>
          </c:dPt>
          <c:dLbls>
            <c:dLbl>
              <c:idx val="0"/>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43219597550305"/>
                      <c:h val="0.24260406296912546"/>
                    </c:manualLayout>
                  </c15:layout>
                </c:ext>
                <c:ext xmlns:c16="http://schemas.microsoft.com/office/drawing/2014/chart" uri="{C3380CC4-5D6E-409C-BE32-E72D297353CC}">
                  <c16:uniqueId val="{00000001-5434-4FED-84E1-F95F6CCC3A0C}"/>
                </c:ext>
              </c:extLst>
            </c:dLbl>
            <c:dLbl>
              <c:idx val="2"/>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84803973494345"/>
                      <c:h val="0.26057937202294151"/>
                    </c:manualLayout>
                  </c15:layout>
                </c:ext>
                <c:ext xmlns:c16="http://schemas.microsoft.com/office/drawing/2014/chart" uri="{C3380CC4-5D6E-409C-BE32-E72D297353CC}">
                  <c16:uniqueId val="{00000005-5434-4FED-84E1-F95F6CCC3A0C}"/>
                </c:ext>
              </c:extLst>
            </c:dLbl>
            <c:dLbl>
              <c:idx val="3"/>
              <c:layout>
                <c:manualLayout>
                  <c:x val="-3.6859222728963977E-3"/>
                  <c:y val="-9.530978306142615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434-4FED-84E1-F95F6CCC3A0C}"/>
                </c:ext>
              </c:extLst>
            </c:dLbl>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METHOD'!$A$4:$A$9</c:f>
              <c:strCache>
                <c:ptCount val="5"/>
                <c:pt idx="0">
                  <c:v>Cash on Delivery</c:v>
                </c:pt>
                <c:pt idx="1">
                  <c:v>Credit Card</c:v>
                </c:pt>
                <c:pt idx="2">
                  <c:v>Debit Card</c:v>
                </c:pt>
                <c:pt idx="3">
                  <c:v>Net Banking</c:v>
                </c:pt>
                <c:pt idx="4">
                  <c:v>UPI</c:v>
                </c:pt>
              </c:strCache>
            </c:strRef>
          </c:cat>
          <c:val>
            <c:numRef>
              <c:f>'PAYMENT METHOD'!$B$4:$B$9</c:f>
              <c:numCache>
                <c:formatCode>0.00%</c:formatCode>
                <c:ptCount val="5"/>
                <c:pt idx="0">
                  <c:v>0.2395398325761009</c:v>
                </c:pt>
                <c:pt idx="1">
                  <c:v>0.20523332614075243</c:v>
                </c:pt>
                <c:pt idx="2">
                  <c:v>0.14469515535299107</c:v>
                </c:pt>
                <c:pt idx="3">
                  <c:v>0.20028917205416572</c:v>
                </c:pt>
                <c:pt idx="4">
                  <c:v>0.21024251387598988</c:v>
                </c:pt>
              </c:numCache>
            </c:numRef>
          </c:val>
          <c:extLst>
            <c:ext xmlns:c16="http://schemas.microsoft.com/office/drawing/2014/chart" uri="{C3380CC4-5D6E-409C-BE32-E72D297353CC}">
              <c16:uniqueId val="{0000000A-5434-4FED-84E1-F95F6CCC3A0C}"/>
            </c:ext>
          </c:extLst>
        </c:ser>
        <c:dLbls>
          <c:showLegendKey val="0"/>
          <c:showVal val="0"/>
          <c:showCatName val="0"/>
          <c:showSerName val="0"/>
          <c:showPercent val="0"/>
          <c:showBubbleSize val="0"/>
          <c:showLeaderLines val="0"/>
        </c:dLbls>
        <c:firstSliceAng val="0"/>
        <c:holeSize val="36"/>
      </c:doughnutChart>
      <c:spPr>
        <a:noFill/>
        <a:ln>
          <a:noFill/>
        </a:ln>
        <a:effectLst/>
      </c:spPr>
    </c:plotArea>
    <c:legend>
      <c:legendPos val="r"/>
      <c:layout>
        <c:manualLayout>
          <c:xMode val="edge"/>
          <c:yMode val="edge"/>
          <c:x val="0.68148161772706217"/>
          <c:y val="7.0656985610314901E-2"/>
          <c:w val="0.19832948717815868"/>
          <c:h val="0.387231413022267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[ecommerse.xlsx]DELIVERY VS RATING!PivotTable7</c:name>
    <c:fmtId val="7"/>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sz="1400" b="0" i="0" u="none" strike="noStrike" cap="none" baseline="0">
                <a:solidFill>
                  <a:schemeClr val="bg1"/>
                </a:solidFill>
              </a:rPr>
              <a:t>DELIVERY VS RATING</a:t>
            </a:r>
            <a:endParaRPr lang="en-US">
              <a:solidFill>
                <a:schemeClr val="bg1"/>
              </a:solidFill>
            </a:endParaRPr>
          </a:p>
        </c:rich>
      </c:tx>
      <c:layout>
        <c:manualLayout>
          <c:xMode val="edge"/>
          <c:yMode val="edge"/>
          <c:x val="0.28820567729921925"/>
          <c:y val="1.793327691333002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6865814293437"/>
          <c:y val="0.21969116394470525"/>
          <c:w val="0.79779709527786857"/>
          <c:h val="0.61147567603225261"/>
        </c:manualLayout>
      </c:layout>
      <c:lineChart>
        <c:grouping val="standard"/>
        <c:varyColors val="0"/>
        <c:ser>
          <c:idx val="0"/>
          <c:order val="0"/>
          <c:tx>
            <c:strRef>
              <c:f>'DELIVERY VS RATING'!$B$3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'DELIVERY VS RATING'!$A$4:$A$14</c:f>
              <c:strCache>
                <c:ptCount val="10"/>
                <c:pt idx="0">
                  <c:v>1</c:v>
                </c:pt>
                <c:pt idx="1">
                  <c:v>2</c:v>
                </c:pt>
                <c:pt idx="2">
                  <c:v>3</c:v>
                </c:pt>
                <c:pt idx="3">
                  <c:v>4</c:v>
                </c:pt>
                <c:pt idx="4">
                  <c:v>5</c:v>
                </c:pt>
                <c:pt idx="5">
                  <c:v>6</c:v>
                </c:pt>
                <c:pt idx="6">
                  <c:v>7</c:v>
                </c:pt>
                <c:pt idx="7">
                  <c:v>8</c:v>
                </c:pt>
                <c:pt idx="8">
                  <c:v>9</c:v>
                </c:pt>
                <c:pt idx="9">
                  <c:v>10</c:v>
                </c:pt>
              </c:strCache>
            </c:strRef>
          </c:cat>
          <c:val>
            <c:numRef>
              <c:f>'DELIVERY VS RATING'!$B$4:$B$14</c:f>
              <c:numCache>
                <c:formatCode>General</c:formatCode>
                <c:ptCount val="10"/>
                <c:pt idx="0">
                  <c:v>3.3103448275862069</c:v>
                </c:pt>
                <c:pt idx="1">
                  <c:v>2.7333333333333334</c:v>
                </c:pt>
                <c:pt idx="2">
                  <c:v>2.9642857142857144</c:v>
                </c:pt>
                <c:pt idx="3">
                  <c:v>2.8846153846153846</c:v>
                </c:pt>
                <c:pt idx="4">
                  <c:v>2.48</c:v>
                </c:pt>
                <c:pt idx="5">
                  <c:v>2.896551724137931</c:v>
                </c:pt>
                <c:pt idx="6">
                  <c:v>2.6551724137931036</c:v>
                </c:pt>
                <c:pt idx="7">
                  <c:v>2.6756756756756759</c:v>
                </c:pt>
                <c:pt idx="8">
                  <c:v>2.59375</c:v>
                </c:pt>
                <c:pt idx="9">
                  <c:v>2.7142857142857144</c:v>
                </c:pt>
              </c:numCache>
            </c:numRef>
          </c:val>
          <c:smooth val="0"/>
          <c:extLst>
            <c:ext xmlns:c16="http://schemas.microsoft.com/office/drawing/2014/chart" uri="{C3380CC4-5D6E-409C-BE32-E72D297353CC}">
              <c16:uniqueId val="{00000000-C8A0-488D-BEA1-84A071B36DA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63751023"/>
        <c:axId val="663771183"/>
      </c:lineChart>
      <c:catAx>
        <c:axId val="66375102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solidFill>
                      <a:schemeClr val="bg1"/>
                    </a:solidFill>
                  </a:rPr>
                  <a:t>days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663771183"/>
        <c:crosses val="autoZero"/>
        <c:auto val="1"/>
        <c:lblAlgn val="ctr"/>
        <c:lblOffset val="100"/>
        <c:noMultiLvlLbl val="0"/>
      </c:catAx>
      <c:valAx>
        <c:axId val="663771183"/>
        <c:scaling>
          <c:orientation val="minMax"/>
        </c:scaling>
        <c:delete val="0"/>
        <c:axPos val="l"/>
        <c:title>
          <c:tx>
            <c:rich>
              <a:bodyPr rot="-5400000" spcFirstLastPara="1" vertOverflow="ellipsis" vert="horz" wrap="square" anchor="ctr" anchorCtr="1"/>
              <a:lstStyle/>
              <a:p>
                <a:pPr>
                  <a:defRPr sz="800" b="0" i="0" u="none" strike="noStrike" kern="1200" cap="all" baseline="0">
                    <a:solidFill>
                      <a:schemeClr val="dk1">
                        <a:lumMod val="65000"/>
                        <a:lumOff val="35000"/>
                      </a:schemeClr>
                    </a:solidFill>
                    <a:latin typeface="+mn-lt"/>
                    <a:ea typeface="+mn-ea"/>
                    <a:cs typeface="+mn-cs"/>
                  </a:defRPr>
                </a:pPr>
                <a:r>
                  <a:rPr lang="en-US" sz="800">
                    <a:solidFill>
                      <a:schemeClr val="bg1"/>
                    </a:solidFill>
                  </a:rPr>
                  <a:t>Axiavg ratings </a:t>
                </a:r>
              </a:p>
            </c:rich>
          </c:tx>
          <c:overlay val="0"/>
          <c:spPr>
            <a:noFill/>
            <a:ln>
              <a:noFill/>
            </a:ln>
            <a:effectLst/>
          </c:spPr>
          <c:txPr>
            <a:bodyPr rot="-5400000" spcFirstLastPara="1" vertOverflow="ellipsis" vert="horz" wrap="square" anchor="ctr" anchorCtr="1"/>
            <a:lstStyle/>
            <a:p>
              <a:pPr>
                <a:defRPr sz="8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663751023"/>
        <c:crosses val="autoZero"/>
        <c:crossBetween val="between"/>
      </c:valAx>
      <c:spPr>
        <a:solidFill>
          <a:schemeClr val="accent3">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[ecommerse.xlsx]AGE GROUP!PivotTable10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sales:age</a:t>
            </a:r>
            <a:r>
              <a:rPr lang="en-US" baseline="0"/>
              <a:t>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GROUP'!$B$3:$B$4</c:f>
              <c:strCache>
                <c:ptCount val="1"/>
                <c:pt idx="0">
                  <c:v>Beauty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GROUP'!$B$5:$B$7</c:f>
              <c:numCache>
                <c:formatCode>General</c:formatCode>
                <c:ptCount val="3"/>
                <c:pt idx="0">
                  <c:v>317827.82000000007</c:v>
                </c:pt>
                <c:pt idx="1">
                  <c:v>23413.780000000002</c:v>
                </c:pt>
                <c:pt idx="2">
                  <c:v>59392.639999999999</c:v>
                </c:pt>
              </c:numCache>
            </c:numRef>
          </c:val>
          <c:extLst>
            <c:ext xmlns:c16="http://schemas.microsoft.com/office/drawing/2014/chart" uri="{C3380CC4-5D6E-409C-BE32-E72D297353CC}">
              <c16:uniqueId val="{00000000-5E54-4594-8C8B-050932BCBE1F}"/>
            </c:ext>
          </c:extLst>
        </c:ser>
        <c:ser>
          <c:idx val="1"/>
          <c:order val="1"/>
          <c:tx>
            <c:strRef>
              <c:f>'AGE GROUP'!$C$3:$C$4</c:f>
              <c:strCache>
                <c:ptCount val="1"/>
                <c:pt idx="0">
                  <c:v>Books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GROUP'!$C$5:$C$7</c:f>
              <c:numCache>
                <c:formatCode>General</c:formatCode>
                <c:ptCount val="3"/>
                <c:pt idx="0">
                  <c:v>309447.1999999999</c:v>
                </c:pt>
                <c:pt idx="1">
                  <c:v>86849.969999999987</c:v>
                </c:pt>
                <c:pt idx="2">
                  <c:v>21220.02</c:v>
                </c:pt>
              </c:numCache>
            </c:numRef>
          </c:val>
          <c:extLst>
            <c:ext xmlns:c16="http://schemas.microsoft.com/office/drawing/2014/chart" uri="{C3380CC4-5D6E-409C-BE32-E72D297353CC}">
              <c16:uniqueId val="{0000000C-5E54-4594-8C8B-050932BCBE1F}"/>
            </c:ext>
          </c:extLst>
        </c:ser>
        <c:ser>
          <c:idx val="2"/>
          <c:order val="2"/>
          <c:tx>
            <c:strRef>
              <c:f>'AGE GROUP'!$D$3:$D$4</c:f>
              <c:strCache>
                <c:ptCount val="1"/>
                <c:pt idx="0">
                  <c:v>Clothing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GROUP'!$D$5:$D$7</c:f>
              <c:numCache>
                <c:formatCode>General</c:formatCode>
                <c:ptCount val="3"/>
                <c:pt idx="0">
                  <c:v>264837.16999999993</c:v>
                </c:pt>
                <c:pt idx="1">
                  <c:v>122392.43999999999</c:v>
                </c:pt>
                <c:pt idx="2">
                  <c:v>49424.250000000007</c:v>
                </c:pt>
              </c:numCache>
            </c:numRef>
          </c:val>
          <c:extLst>
            <c:ext xmlns:c16="http://schemas.microsoft.com/office/drawing/2014/chart" uri="{C3380CC4-5D6E-409C-BE32-E72D297353CC}">
              <c16:uniqueId val="{0000000D-5E54-4594-8C8B-050932BCBE1F}"/>
            </c:ext>
          </c:extLst>
        </c:ser>
        <c:ser>
          <c:idx val="3"/>
          <c:order val="3"/>
          <c:tx>
            <c:strRef>
              <c:f>'AGE GROUP'!$E$3:$E$4</c:f>
              <c:strCache>
                <c:ptCount val="1"/>
                <c:pt idx="0">
                  <c:v>Electronics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GROUP'!$E$5:$E$7</c:f>
              <c:numCache>
                <c:formatCode>General</c:formatCode>
                <c:ptCount val="3"/>
                <c:pt idx="0">
                  <c:v>232047.58000000005</c:v>
                </c:pt>
                <c:pt idx="1">
                  <c:v>54609.229999999996</c:v>
                </c:pt>
                <c:pt idx="2">
                  <c:v>35444.700000000004</c:v>
                </c:pt>
              </c:numCache>
            </c:numRef>
          </c:val>
          <c:extLst>
            <c:ext xmlns:c16="http://schemas.microsoft.com/office/drawing/2014/chart" uri="{C3380CC4-5D6E-409C-BE32-E72D297353CC}">
              <c16:uniqueId val="{0000000E-5E54-4594-8C8B-050932BCBE1F}"/>
            </c:ext>
          </c:extLst>
        </c:ser>
        <c:ser>
          <c:idx val="4"/>
          <c:order val="4"/>
          <c:tx>
            <c:strRef>
              <c:f>'AGE GROUP'!$F$3:$F$4</c:f>
              <c:strCache>
                <c:ptCount val="1"/>
                <c:pt idx="0">
                  <c:v>Home Appliances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GROUP'!$F$5:$F$7</c:f>
              <c:numCache>
                <c:formatCode>General</c:formatCode>
                <c:ptCount val="3"/>
                <c:pt idx="0">
                  <c:v>229194.72000000003</c:v>
                </c:pt>
                <c:pt idx="1">
                  <c:v>38782.639999999999</c:v>
                </c:pt>
                <c:pt idx="2">
                  <c:v>23042.03</c:v>
                </c:pt>
              </c:numCache>
            </c:numRef>
          </c:val>
          <c:extLst>
            <c:ext xmlns:c16="http://schemas.microsoft.com/office/drawing/2014/chart" uri="{C3380CC4-5D6E-409C-BE32-E72D297353CC}">
              <c16:uniqueId val="{0000000F-5E54-4594-8C8B-050932BCBE1F}"/>
            </c:ext>
          </c:extLst>
        </c:ser>
        <c:ser>
          <c:idx val="5"/>
          <c:order val="5"/>
          <c:tx>
            <c:strRef>
              <c:f>'AGE GROUP'!$G$3:$G$4</c:f>
              <c:strCache>
                <c:ptCount val="1"/>
                <c:pt idx="0">
                  <c:v>Sports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'AGE GROUP'!$A$5:$A$7</c:f>
              <c:strCache>
                <c:ptCount val="3"/>
                <c:pt idx="0">
                  <c:v>adult</c:v>
                </c:pt>
                <c:pt idx="1">
                  <c:v>senior</c:v>
                </c:pt>
                <c:pt idx="2">
                  <c:v>teenager</c:v>
                </c:pt>
              </c:strCache>
            </c:strRef>
          </c:cat>
          <c:val>
            <c:numRef>
              <c:f>'AGE GROUP'!$G$5:$G$7</c:f>
              <c:numCache>
                <c:formatCode>General</c:formatCode>
                <c:ptCount val="3"/>
                <c:pt idx="0">
                  <c:v>360955.6399999999</c:v>
                </c:pt>
                <c:pt idx="1">
                  <c:v>58280.289999999994</c:v>
                </c:pt>
                <c:pt idx="2">
                  <c:v>36250.5</c:v>
                </c:pt>
              </c:numCache>
            </c:numRef>
          </c:val>
          <c:extLst>
            <c:ext xmlns:c16="http://schemas.microsoft.com/office/drawing/2014/chart" uri="{C3380CC4-5D6E-409C-BE32-E72D297353CC}">
              <c16:uniqueId val="{00000010-5E54-4594-8C8B-050932BCBE1F}"/>
            </c:ext>
          </c:extLst>
        </c:ser>
        <c:dLbls>
          <c:showLegendKey val="0"/>
          <c:showVal val="0"/>
          <c:showCatName val="0"/>
          <c:showSerName val="0"/>
          <c:showPercent val="0"/>
          <c:showBubbleSize val="0"/>
        </c:dLbls>
        <c:gapWidth val="100"/>
        <c:overlap val="-24"/>
        <c:axId val="728506592"/>
        <c:axId val="728513792"/>
      </c:barChart>
      <c:catAx>
        <c:axId val="728506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513792"/>
        <c:crosses val="autoZero"/>
        <c:auto val="1"/>
        <c:lblAlgn val="ctr"/>
        <c:lblOffset val="100"/>
        <c:noMultiLvlLbl val="0"/>
      </c:catAx>
      <c:valAx>
        <c:axId val="728513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50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[ecommerse.xlsx]TOP CITY!PivotTable2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CITY'!$E$14</c:f>
              <c:strCache>
                <c:ptCount val="1"/>
                <c:pt idx="0">
                  <c:v>Total</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CITY'!$D$15:$D$21</c:f>
              <c:strCache>
                <c:ptCount val="6"/>
                <c:pt idx="0">
                  <c:v>Bangalore</c:v>
                </c:pt>
                <c:pt idx="1">
                  <c:v>Chennai</c:v>
                </c:pt>
                <c:pt idx="2">
                  <c:v>Delhi</c:v>
                </c:pt>
                <c:pt idx="3">
                  <c:v>Hyderabad</c:v>
                </c:pt>
                <c:pt idx="4">
                  <c:v>Mumbai</c:v>
                </c:pt>
                <c:pt idx="5">
                  <c:v>Pune</c:v>
                </c:pt>
              </c:strCache>
            </c:strRef>
          </c:cat>
          <c:val>
            <c:numRef>
              <c:f>'TOP CITY'!$E$15:$E$21</c:f>
              <c:numCache>
                <c:formatCode>General</c:formatCode>
                <c:ptCount val="6"/>
                <c:pt idx="0">
                  <c:v>464844.0199999999</c:v>
                </c:pt>
                <c:pt idx="1">
                  <c:v>351332.57999999984</c:v>
                </c:pt>
                <c:pt idx="2">
                  <c:v>399486.76000000007</c:v>
                </c:pt>
                <c:pt idx="3">
                  <c:v>274755.36999999994</c:v>
                </c:pt>
                <c:pt idx="4">
                  <c:v>430612.92000000027</c:v>
                </c:pt>
                <c:pt idx="5">
                  <c:v>402380.9699999998</c:v>
                </c:pt>
              </c:numCache>
            </c:numRef>
          </c:val>
          <c:extLst>
            <c:ext xmlns:c16="http://schemas.microsoft.com/office/drawing/2014/chart" uri="{C3380CC4-5D6E-409C-BE32-E72D297353CC}">
              <c16:uniqueId val="{00000000-DC93-43A1-B2B3-ECB360C0FC3B}"/>
            </c:ext>
          </c:extLst>
        </c:ser>
        <c:dLbls>
          <c:dLblPos val="outEnd"/>
          <c:showLegendKey val="0"/>
          <c:showVal val="1"/>
          <c:showCatName val="0"/>
          <c:showSerName val="0"/>
          <c:showPercent val="0"/>
          <c:showBubbleSize val="0"/>
        </c:dLbls>
        <c:gapWidth val="182"/>
        <c:axId val="688641872"/>
        <c:axId val="688644272"/>
      </c:barChart>
      <c:catAx>
        <c:axId val="68864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44272"/>
        <c:crosses val="autoZero"/>
        <c:auto val="1"/>
        <c:lblAlgn val="ctr"/>
        <c:lblOffset val="100"/>
        <c:noMultiLvlLbl val="0"/>
      </c:catAx>
      <c:valAx>
        <c:axId val="68864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418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[ecommerse.xlsx]MONTHLY TREND!PivotTable1</c:name>
    <c:fmtId val="1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 Trend</a:t>
            </a:r>
          </a:p>
        </c:rich>
      </c:tx>
      <c:layout>
        <c:manualLayout>
          <c:xMode val="edge"/>
          <c:yMode val="edge"/>
          <c:x val="0.28982207150770206"/>
          <c:y val="5.35211208249838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4941E-2"/>
              <c:y val="4.17012977544474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6729221347331582E-2"/>
              <c:y val="1.855314960629912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5017E-2"/>
              <c:y val="4.170129775444736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3395888013998355E-2"/>
              <c:y val="3.707166812481772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492E-2"/>
              <c:y val="3.244203849518809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4941E-2"/>
              <c:y val="4.17012977544474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6729221347331582E-2"/>
              <c:y val="1.855314960629912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5017E-2"/>
              <c:y val="4.170129775444736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3395888013998355E-2"/>
              <c:y val="3.707166812481772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492E-2"/>
              <c:y val="3.244203849518809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4941E-2"/>
              <c:y val="4.17012977544474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6729221347331582E-2"/>
              <c:y val="1.855314960629912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5017E-2"/>
              <c:y val="4.170129775444736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3395888013998355E-2"/>
              <c:y val="3.707166812481772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5.506255468066492E-2"/>
              <c:y val="3.244203849518809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TREND'!$C$18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1"/>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0-BB73-422B-82D6-481E87FDD881}"/>
              </c:ext>
            </c:extLst>
          </c:dPt>
          <c:dPt>
            <c:idx val="3"/>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1-BB73-422B-82D6-481E87FDD881}"/>
              </c:ext>
            </c:extLst>
          </c:dPt>
          <c:dPt>
            <c:idx val="5"/>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2-BB73-422B-82D6-481E87FDD881}"/>
              </c:ext>
            </c:extLst>
          </c:dPt>
          <c:dPt>
            <c:idx val="7"/>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3-BB73-422B-82D6-481E87FDD881}"/>
              </c:ext>
            </c:extLst>
          </c:dPt>
          <c:dPt>
            <c:idx val="10"/>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4-BB73-422B-82D6-481E87FDD881}"/>
              </c:ext>
            </c:extLst>
          </c:dPt>
          <c:dLbls>
            <c:dLbl>
              <c:idx val="1"/>
              <c:layout>
                <c:manualLayout>
                  <c:x val="-5.5062554680664941E-2"/>
                  <c:y val="4.170129775444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3-422B-82D6-481E87FDD881}"/>
                </c:ext>
              </c:extLst>
            </c:dLbl>
            <c:dLbl>
              <c:idx val="3"/>
              <c:layout>
                <c:manualLayout>
                  <c:x val="-4.6729221347331582E-2"/>
                  <c:y val="1.8553149606299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3-422B-82D6-481E87FDD881}"/>
                </c:ext>
              </c:extLst>
            </c:dLbl>
            <c:dLbl>
              <c:idx val="5"/>
              <c:layout>
                <c:manualLayout>
                  <c:x val="-5.5062554680665017E-2"/>
                  <c:y val="4.17012977544473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3-422B-82D6-481E87FDD881}"/>
                </c:ext>
              </c:extLst>
            </c:dLbl>
            <c:dLbl>
              <c:idx val="7"/>
              <c:layout>
                <c:manualLayout>
                  <c:x val="-6.3395888013998355E-2"/>
                  <c:y val="3.70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3-422B-82D6-481E87FDD881}"/>
                </c:ext>
              </c:extLst>
            </c:dLbl>
            <c:dLbl>
              <c:idx val="10"/>
              <c:layout>
                <c:manualLayout>
                  <c:x val="-5.506255468066492E-2"/>
                  <c:y val="3.24420384951880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3-422B-82D6-481E87FDD881}"/>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'MONTHLY TREND'!$B$19:$B$31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TREND'!$C$19:$C$31</c:f>
              <c:numCache>
                <c:formatCode>General</c:formatCode>
                <c:ptCount val="12"/>
                <c:pt idx="0">
                  <c:v>154787.84999999998</c:v>
                </c:pt>
                <c:pt idx="1">
                  <c:v>128771.67000000003</c:v>
                </c:pt>
                <c:pt idx="2">
                  <c:v>222931.26</c:v>
                </c:pt>
                <c:pt idx="3">
                  <c:v>135142.31999999998</c:v>
                </c:pt>
                <c:pt idx="4">
                  <c:v>174657.56</c:v>
                </c:pt>
                <c:pt idx="5">
                  <c:v>175342.99</c:v>
                </c:pt>
                <c:pt idx="6">
                  <c:v>258818.07999999996</c:v>
                </c:pt>
                <c:pt idx="7">
                  <c:v>232884.49999999997</c:v>
                </c:pt>
                <c:pt idx="8">
                  <c:v>245417.71999999991</c:v>
                </c:pt>
                <c:pt idx="9">
                  <c:v>277007.34999999998</c:v>
                </c:pt>
                <c:pt idx="10">
                  <c:v>117197.24999999997</c:v>
                </c:pt>
                <c:pt idx="11">
                  <c:v>200454.07</c:v>
                </c:pt>
              </c:numCache>
            </c:numRef>
          </c:val>
          <c:smooth val="0"/>
          <c:extLst>
            <c:ext xmlns:c16="http://schemas.microsoft.com/office/drawing/2014/chart" uri="{C3380CC4-5D6E-409C-BE32-E72D297353CC}">
              <c16:uniqueId val="{00000005-BB73-422B-82D6-481E87FDD881}"/>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04473984"/>
        <c:axId val="904485024"/>
      </c:lineChart>
      <c:catAx>
        <c:axId val="9044739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04485024"/>
        <c:crosses val="autoZero"/>
        <c:auto val="1"/>
        <c:lblAlgn val="ctr"/>
        <c:lblOffset val="100"/>
        <c:noMultiLvlLbl val="0"/>
      </c:catAx>
      <c:valAx>
        <c:axId val="904485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0447398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14287</xdr:colOff>
      <xdr:row>1</xdr:row>
      <xdr:rowOff>176212</xdr:rowOff>
    </xdr:from>
    <xdr:to>
      <xdr:col>10</xdr:col>
      <xdr:colOff>319087</xdr:colOff>
      <xdr:row>16</xdr:row>
      <xdr:rowOff>61912</xdr:rowOff>
    </xdr:to>
    <xdr:graphicFrame macro="">
      <xdr:nvGraphicFramePr>
        <xdr:cNvPr id="3" name="Chart 2">
          <a:extLst>
            <a:ext uri="{FF2B5EF4-FFF2-40B4-BE49-F238E27FC236}">
              <a16:creationId xmlns:a16="http://schemas.microsoft.com/office/drawing/2014/main" id="{A814EECA-43ED-AD1D-199E-5520B1B4D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466725</xdr:colOff>
      <xdr:row>7</xdr:row>
      <xdr:rowOff>52387</xdr:rowOff>
    </xdr:from>
    <xdr:to>
      <xdr:col>13</xdr:col>
      <xdr:colOff>161925</xdr:colOff>
      <xdr:row>21</xdr:row>
      <xdr:rowOff>128587</xdr:rowOff>
    </xdr:to>
    <xdr:graphicFrame macro="">
      <xdr:nvGraphicFramePr>
        <xdr:cNvPr id="3" name="Chart 2">
          <a:extLst>
            <a:ext uri="{FF2B5EF4-FFF2-40B4-BE49-F238E27FC236}">
              <a16:creationId xmlns:a16="http://schemas.microsoft.com/office/drawing/2014/main" id="{03515C86-2E18-9345-1BB2-11DB42A95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180975</xdr:colOff>
      <xdr:row>3</xdr:row>
      <xdr:rowOff>33337</xdr:rowOff>
    </xdr:from>
    <xdr:to>
      <xdr:col>12</xdr:col>
      <xdr:colOff>485775</xdr:colOff>
      <xdr:row>17</xdr:row>
      <xdr:rowOff>109537</xdr:rowOff>
    </xdr:to>
    <xdr:graphicFrame macro="">
      <xdr:nvGraphicFramePr>
        <xdr:cNvPr id="3" name="Chart 2">
          <a:extLst>
            <a:ext uri="{FF2B5EF4-FFF2-40B4-BE49-F238E27FC236}">
              <a16:creationId xmlns:a16="http://schemas.microsoft.com/office/drawing/2014/main" id="{0D82247F-5D3E-46A0-D539-FCF5935DA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1266825</xdr:colOff>
      <xdr:row>3</xdr:row>
      <xdr:rowOff>90487</xdr:rowOff>
    </xdr:from>
    <xdr:to>
      <xdr:col>9</xdr:col>
      <xdr:colOff>342900</xdr:colOff>
      <xdr:row>15</xdr:row>
      <xdr:rowOff>66675</xdr:rowOff>
    </xdr:to>
    <xdr:graphicFrame macro="">
      <xdr:nvGraphicFramePr>
        <xdr:cNvPr id="2" name="Chart 1">
          <a:extLst>
            <a:ext uri="{FF2B5EF4-FFF2-40B4-BE49-F238E27FC236}">
              <a16:creationId xmlns:a16="http://schemas.microsoft.com/office/drawing/2014/main" id="{901B416F-FFC0-E6C3-B1C4-5B4A42A4F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171450</xdr:colOff>
      <xdr:row>1</xdr:row>
      <xdr:rowOff>109537</xdr:rowOff>
    </xdr:from>
    <xdr:to>
      <xdr:col>9</xdr:col>
      <xdr:colOff>476250</xdr:colOff>
      <xdr:row>15</xdr:row>
      <xdr:rowOff>185737</xdr:rowOff>
    </xdr:to>
    <xdr:graphicFrame macro="">
      <xdr:nvGraphicFramePr>
        <xdr:cNvPr id="2" name="Chart 1">
          <a:extLst>
            <a:ext uri="{FF2B5EF4-FFF2-40B4-BE49-F238E27FC236}">
              <a16:creationId xmlns:a16="http://schemas.microsoft.com/office/drawing/2014/main" id="{84C5033A-E8D1-E470-AFCE-24AF62FC7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219075</xdr:colOff>
      <xdr:row>1</xdr:row>
      <xdr:rowOff>42862</xdr:rowOff>
    </xdr:from>
    <xdr:to>
      <xdr:col>9</xdr:col>
      <xdr:colOff>523875</xdr:colOff>
      <xdr:row>15</xdr:row>
      <xdr:rowOff>119062</xdr:rowOff>
    </xdr:to>
    <xdr:graphicFrame macro="">
      <xdr:nvGraphicFramePr>
        <xdr:cNvPr id="2" name="Chart 1">
          <a:extLst>
            <a:ext uri="{FF2B5EF4-FFF2-40B4-BE49-F238E27FC236}">
              <a16:creationId xmlns:a16="http://schemas.microsoft.com/office/drawing/2014/main" id="{31338C07-1E89-4CF7-1D31-5A87B8A0C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290512</xdr:colOff>
      <xdr:row>0</xdr:row>
      <xdr:rowOff>0</xdr:rowOff>
    </xdr:from>
    <xdr:to>
      <xdr:col>9</xdr:col>
      <xdr:colOff>595312</xdr:colOff>
      <xdr:row>14</xdr:row>
      <xdr:rowOff>76200</xdr:rowOff>
    </xdr:to>
    <xdr:graphicFrame macro="">
      <xdr:nvGraphicFramePr>
        <xdr:cNvPr id="2" name="Chart 1">
          <a:extLst>
            <a:ext uri="{FF2B5EF4-FFF2-40B4-BE49-F238E27FC236}">
              <a16:creationId xmlns:a16="http://schemas.microsoft.com/office/drawing/2014/main" id="{EC212471-CD39-E0CF-414B-B3F8FC5CB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554936</xdr:colOff>
      <xdr:row>4</xdr:row>
      <xdr:rowOff>160683</xdr:rowOff>
    </xdr:from>
    <xdr:to>
      <xdr:col>9</xdr:col>
      <xdr:colOff>612914</xdr:colOff>
      <xdr:row>19</xdr:row>
      <xdr:rowOff>46383</xdr:rowOff>
    </xdr:to>
    <xdr:graphicFrame macro="">
      <xdr:nvGraphicFramePr>
        <xdr:cNvPr id="3" name="Chart 2">
          <a:extLst>
            <a:ext uri="{FF2B5EF4-FFF2-40B4-BE49-F238E27FC236}">
              <a16:creationId xmlns:a16="http://schemas.microsoft.com/office/drawing/2014/main" id="{42BC4520-B8F4-74FC-F158-BC3DB7648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xdr:col>
      <xdr:colOff>581527</xdr:colOff>
      <xdr:row>1</xdr:row>
      <xdr:rowOff>57152</xdr:rowOff>
    </xdr:from>
    <xdr:to>
      <xdr:col>5</xdr:col>
      <xdr:colOff>190500</xdr:colOff>
      <xdr:row>5</xdr:row>
      <xdr:rowOff>30080</xdr:rowOff>
    </xdr:to>
    <xdr:sp macro="" textlink="cleaning!W2">
      <xdr:nvSpPr>
        <xdr:cNvPr id="4" name="Rectangle 3">
          <a:extLst>
            <a:ext uri="{FF2B5EF4-FFF2-40B4-BE49-F238E27FC236}">
              <a16:creationId xmlns:a16="http://schemas.microsoft.com/office/drawing/2014/main" id="{355AB18F-5EFD-4702-A9F7-276C43B61C8C}"/>
            </a:ext>
          </a:extLst>
        </xdr:cNvPr>
        <xdr:cNvSpPr/>
      </xdr:nvSpPr>
      <xdr:spPr>
        <a:xfrm>
          <a:off x="1193132" y="367968"/>
          <a:ext cx="2055394" cy="604586"/>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tx1"/>
              </a:solidFill>
              <a:effectLst/>
              <a:latin typeface="Calibri"/>
              <a:ea typeface="Calibri"/>
              <a:cs typeface="Calibri"/>
            </a:rPr>
            <a:t>Total sale</a:t>
          </a:r>
        </a:p>
        <a:p>
          <a:pPr marL="0" marR="0" lvl="0" indent="0" algn="ctr" defTabSz="914400" eaLnBrk="1" fontAlgn="auto" latinLnBrk="0" hangingPunct="1">
            <a:lnSpc>
              <a:spcPct val="100000"/>
            </a:lnSpc>
            <a:spcBef>
              <a:spcPts val="0"/>
            </a:spcBef>
            <a:spcAft>
              <a:spcPts val="0"/>
            </a:spcAft>
            <a:buClrTx/>
            <a:buSzTx/>
            <a:buFontTx/>
            <a:buNone/>
            <a:tabLst/>
            <a:defRPr/>
          </a:pPr>
          <a:fld id="{4DA5E616-FF78-4B60-A3C5-0E2B5B26590B}" type="TxLink">
            <a:rPr lang="en-US" sz="1600" b="1" i="0" u="none" strike="noStrike">
              <a:solidFill>
                <a:schemeClr val="tx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 2,323,412.62 </a:t>
          </a:fld>
          <a:endParaRPr lang="en-US" sz="1600" b="1">
            <a:solidFill>
              <a:schemeClr val="tx1"/>
            </a:solidFill>
          </a:endParaRPr>
        </a:p>
      </xdr:txBody>
    </xdr:sp>
    <xdr:clientData/>
  </xdr:twoCellAnchor>
  <xdr:twoCellAnchor>
    <xdr:from>
      <xdr:col>5</xdr:col>
      <xdr:colOff>260686</xdr:colOff>
      <xdr:row>1</xdr:row>
      <xdr:rowOff>56647</xdr:rowOff>
    </xdr:from>
    <xdr:to>
      <xdr:col>8</xdr:col>
      <xdr:colOff>501316</xdr:colOff>
      <xdr:row>5</xdr:row>
      <xdr:rowOff>20051</xdr:rowOff>
    </xdr:to>
    <xdr:sp macro="" textlink="cleaning!W3">
      <xdr:nvSpPr>
        <xdr:cNvPr id="6" name="Rectangle 5">
          <a:extLst>
            <a:ext uri="{FF2B5EF4-FFF2-40B4-BE49-F238E27FC236}">
              <a16:creationId xmlns:a16="http://schemas.microsoft.com/office/drawing/2014/main" id="{3F359EF6-EE8D-40A8-A8BF-322B4FFB55E6}"/>
            </a:ext>
          </a:extLst>
        </xdr:cNvPr>
        <xdr:cNvSpPr/>
      </xdr:nvSpPr>
      <xdr:spPr>
        <a:xfrm>
          <a:off x="3318712" y="367463"/>
          <a:ext cx="2075446" cy="595062"/>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tx1"/>
              </a:solidFill>
              <a:effectLst/>
              <a:latin typeface="+mn-lt"/>
              <a:ea typeface="+mn-ea"/>
              <a:cs typeface="+mn-cs"/>
            </a:rPr>
            <a:t>Total orders</a:t>
          </a:r>
          <a:endParaRPr lang="en-US" sz="1600" b="1" i="0" u="none" strike="noStrike">
            <a:solidFill>
              <a:schemeClr val="tx1"/>
            </a:solidFill>
            <a:latin typeface="Calibri"/>
            <a:ea typeface="Calibri"/>
            <a:cs typeface="Calibri"/>
          </a:endParaRPr>
        </a:p>
        <a:p>
          <a:pPr algn="ctr"/>
          <a:fld id="{C4628E44-33CA-415E-9F30-6EF4D28982B7}" type="TxLink">
            <a:rPr lang="en-US" sz="1600" b="1" i="0" u="none" strike="noStrike">
              <a:solidFill>
                <a:srgbClr val="000000"/>
              </a:solidFill>
              <a:latin typeface="Calibri"/>
              <a:ea typeface="Calibri"/>
              <a:cs typeface="Calibri"/>
            </a:rPr>
            <a:pPr algn="ctr"/>
            <a:t>300</a:t>
          </a:fld>
          <a:endParaRPr lang="en-US" sz="1600" b="1">
            <a:solidFill>
              <a:schemeClr val="tx1"/>
            </a:solidFill>
          </a:endParaRPr>
        </a:p>
      </xdr:txBody>
    </xdr:sp>
    <xdr:clientData/>
  </xdr:twoCellAnchor>
  <xdr:twoCellAnchor>
    <xdr:from>
      <xdr:col>8</xdr:col>
      <xdr:colOff>581526</xdr:colOff>
      <xdr:row>2</xdr:row>
      <xdr:rowOff>11030</xdr:rowOff>
    </xdr:from>
    <xdr:to>
      <xdr:col>12</xdr:col>
      <xdr:colOff>471236</xdr:colOff>
      <xdr:row>5</xdr:row>
      <xdr:rowOff>30080</xdr:rowOff>
    </xdr:to>
    <xdr:sp macro="" textlink="cleaning!W4">
      <xdr:nvSpPr>
        <xdr:cNvPr id="7" name="Rectangle 6">
          <a:extLst>
            <a:ext uri="{FF2B5EF4-FFF2-40B4-BE49-F238E27FC236}">
              <a16:creationId xmlns:a16="http://schemas.microsoft.com/office/drawing/2014/main" id="{1220CCCB-D739-4C44-9544-D1B743F71887}"/>
            </a:ext>
          </a:extLst>
        </xdr:cNvPr>
        <xdr:cNvSpPr/>
      </xdr:nvSpPr>
      <xdr:spPr>
        <a:xfrm>
          <a:off x="5474368" y="382004"/>
          <a:ext cx="2336131" cy="59055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rgbClr val="000000"/>
              </a:solidFill>
              <a:latin typeface="+mn-lt"/>
              <a:ea typeface="Calibri"/>
              <a:cs typeface="Calibri"/>
            </a:rPr>
            <a:t>average order value</a:t>
          </a:r>
          <a:r>
            <a:rPr lang="en-US" sz="1400" b="1" i="0" u="none" strike="noStrike">
              <a:solidFill>
                <a:srgbClr val="000000"/>
              </a:solidFill>
              <a:latin typeface="+mn-lt"/>
              <a:ea typeface="Calibri"/>
              <a:cs typeface="Calibri"/>
            </a:rPr>
            <a:t>(AOV)</a:t>
          </a:r>
          <a:r>
            <a:rPr lang="en-US" sz="1600" b="1" i="0" u="none" strike="noStrike">
              <a:solidFill>
                <a:srgbClr val="000000"/>
              </a:solidFill>
              <a:latin typeface="+mn-lt"/>
              <a:ea typeface="Calibri"/>
              <a:cs typeface="Calibri"/>
            </a:rPr>
            <a:t> </a:t>
          </a:r>
        </a:p>
        <a:p>
          <a:pPr algn="l"/>
          <a:fld id="{A0E08A93-28A9-459A-9670-5F2814DBB5DC}" type="TxLink">
            <a:rPr lang="en-US" sz="1600" b="1" i="0" u="none" strike="noStrike">
              <a:solidFill>
                <a:srgbClr val="000000"/>
              </a:solidFill>
              <a:latin typeface="Calibri"/>
              <a:ea typeface="Calibri"/>
              <a:cs typeface="Calibri"/>
            </a:rPr>
            <a:pPr algn="l"/>
            <a:t> ₹ 7,744.71 </a:t>
          </a:fld>
          <a:endParaRPr lang="en-US" sz="1600" b="1"/>
        </a:p>
      </xdr:txBody>
    </xdr:sp>
    <xdr:clientData/>
  </xdr:twoCellAnchor>
  <xdr:twoCellAnchor>
    <xdr:from>
      <xdr:col>1</xdr:col>
      <xdr:colOff>561473</xdr:colOff>
      <xdr:row>17</xdr:row>
      <xdr:rowOff>10027</xdr:rowOff>
    </xdr:from>
    <xdr:to>
      <xdr:col>8</xdr:col>
      <xdr:colOff>461211</xdr:colOff>
      <xdr:row>28</xdr:row>
      <xdr:rowOff>10027</xdr:rowOff>
    </xdr:to>
    <xdr:graphicFrame macro="">
      <xdr:nvGraphicFramePr>
        <xdr:cNvPr id="10" name="Chart 9">
          <a:extLst>
            <a:ext uri="{FF2B5EF4-FFF2-40B4-BE49-F238E27FC236}">
              <a16:creationId xmlns:a16="http://schemas.microsoft.com/office/drawing/2014/main" id="{674A16C7-48C9-4767-9921-9E572A5E8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501315</xdr:colOff>
      <xdr:row>5</xdr:row>
      <xdr:rowOff>72192</xdr:rowOff>
    </xdr:from>
    <xdr:to>
      <xdr:col>15</xdr:col>
      <xdr:colOff>80210</xdr:colOff>
      <xdr:row>17</xdr:row>
      <xdr:rowOff>0</xdr:rowOff>
    </xdr:to>
    <xdr:graphicFrame macro="">
      <xdr:nvGraphicFramePr>
        <xdr:cNvPr id="13" name="Chart 12">
          <a:extLst>
            <a:ext uri="{FF2B5EF4-FFF2-40B4-BE49-F238E27FC236}">
              <a16:creationId xmlns:a16="http://schemas.microsoft.com/office/drawing/2014/main" id="{170F1DB7-5053-403F-8CEF-A3ED857E1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130342</xdr:colOff>
      <xdr:row>17</xdr:row>
      <xdr:rowOff>21089</xdr:rowOff>
    </xdr:from>
    <xdr:to>
      <xdr:col>21</xdr:col>
      <xdr:colOff>300789</xdr:colOff>
      <xdr:row>28</xdr:row>
      <xdr:rowOff>20052</xdr:rowOff>
    </xdr:to>
    <xdr:graphicFrame macro="">
      <xdr:nvGraphicFramePr>
        <xdr:cNvPr id="14" name="Chart 13">
          <a:extLst>
            <a:ext uri="{FF2B5EF4-FFF2-40B4-BE49-F238E27FC236}">
              <a16:creationId xmlns:a16="http://schemas.microsoft.com/office/drawing/2014/main" id="{3A20B4CC-41B7-4A80-956D-EF1C57F0F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10</xdr:row>
      <xdr:rowOff>169445</xdr:rowOff>
    </xdr:from>
    <xdr:to>
      <xdr:col>1</xdr:col>
      <xdr:colOff>551448</xdr:colOff>
      <xdr:row>19</xdr:row>
      <xdr:rowOff>90237</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B2A75636-D212-8532-FAB8-9DAB85906B5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2064419"/>
              <a:ext cx="1163053" cy="1635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64168</xdr:rowOff>
    </xdr:from>
    <xdr:to>
      <xdr:col>1</xdr:col>
      <xdr:colOff>561474</xdr:colOff>
      <xdr:row>28</xdr:row>
      <xdr:rowOff>0</xdr:rowOff>
    </xdr:to>
    <mc:AlternateContent xmlns:mc="http://schemas.openxmlformats.org/markup-compatibility/2006" xmlns:a14="http://schemas.microsoft.com/office/drawing/2010/main">
      <mc:Choice Requires="a14">
        <xdr:graphicFrame macro="">
          <xdr:nvGraphicFramePr>
            <xdr:cNvPr id="16" name="Product_Category">
              <a:extLst>
                <a:ext uri="{FF2B5EF4-FFF2-40B4-BE49-F238E27FC236}">
                  <a16:creationId xmlns:a16="http://schemas.microsoft.com/office/drawing/2014/main" id="{CBE02F69-E803-B2FB-B8EE-A2E485B8D2B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3673642"/>
              <a:ext cx="1173079" cy="1650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9024</xdr:rowOff>
    </xdr:from>
    <xdr:to>
      <xdr:col>1</xdr:col>
      <xdr:colOff>551448</xdr:colOff>
      <xdr:row>10</xdr:row>
      <xdr:rowOff>150394</xdr:rowOff>
    </xdr:to>
    <mc:AlternateContent xmlns:mc="http://schemas.openxmlformats.org/markup-compatibility/2006" xmlns:a14="http://schemas.microsoft.com/office/drawing/2010/main">
      <mc:Choice Requires="a14">
        <xdr:graphicFrame macro="">
          <xdr:nvGraphicFramePr>
            <xdr:cNvPr id="17" name="Payment_Method">
              <a:extLst>
                <a:ext uri="{FF2B5EF4-FFF2-40B4-BE49-F238E27FC236}">
                  <a16:creationId xmlns:a16="http://schemas.microsoft.com/office/drawing/2014/main" id="{018A2797-837E-7C54-A887-413B7DDC1BB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379998"/>
              <a:ext cx="1163053" cy="1665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120316</xdr:colOff>
      <xdr:row>5</xdr:row>
      <xdr:rowOff>90236</xdr:rowOff>
    </xdr:from>
    <xdr:to>
      <xdr:col>21</xdr:col>
      <xdr:colOff>290764</xdr:colOff>
      <xdr:row>17</xdr:row>
      <xdr:rowOff>10025</xdr:rowOff>
    </xdr:to>
    <xdr:graphicFrame macro="">
      <xdr:nvGraphicFramePr>
        <xdr:cNvPr id="3" name="Chart 2">
          <a:extLst>
            <a:ext uri="{FF2B5EF4-FFF2-40B4-BE49-F238E27FC236}">
              <a16:creationId xmlns:a16="http://schemas.microsoft.com/office/drawing/2014/main" id="{7BC51A9D-E8B6-4D37-B868-DB94110CB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8</xdr:col>
      <xdr:colOff>451184</xdr:colOff>
      <xdr:row>17</xdr:row>
      <xdr:rowOff>10027</xdr:rowOff>
    </xdr:from>
    <xdr:to>
      <xdr:col>15</xdr:col>
      <xdr:colOff>130342</xdr:colOff>
      <xdr:row>28</xdr:row>
      <xdr:rowOff>20053</xdr:rowOff>
    </xdr:to>
    <xdr:graphicFrame macro="">
      <xdr:nvGraphicFramePr>
        <xdr:cNvPr id="8" name="Chart 7">
          <a:extLst>
            <a:ext uri="{FF2B5EF4-FFF2-40B4-BE49-F238E27FC236}">
              <a16:creationId xmlns:a16="http://schemas.microsoft.com/office/drawing/2014/main" id="{B811C08F-199C-49B2-9D16-7296463FC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551447</xdr:colOff>
      <xdr:row>2</xdr:row>
      <xdr:rowOff>10026</xdr:rowOff>
    </xdr:from>
    <xdr:to>
      <xdr:col>16</xdr:col>
      <xdr:colOff>401054</xdr:colOff>
      <xdr:row>5</xdr:row>
      <xdr:rowOff>50132</xdr:rowOff>
    </xdr:to>
    <xdr:sp macro="" textlink="cleaning!W5">
      <xdr:nvSpPr>
        <xdr:cNvPr id="9" name="Rectangle 8">
          <a:extLst>
            <a:ext uri="{FF2B5EF4-FFF2-40B4-BE49-F238E27FC236}">
              <a16:creationId xmlns:a16="http://schemas.microsoft.com/office/drawing/2014/main" id="{85385C96-9E03-456D-868F-E4C22F4BFF85}"/>
            </a:ext>
          </a:extLst>
        </xdr:cNvPr>
        <xdr:cNvSpPr/>
      </xdr:nvSpPr>
      <xdr:spPr>
        <a:xfrm>
          <a:off x="7890710" y="381000"/>
          <a:ext cx="2296028" cy="611606"/>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ysClr val="windowText" lastClr="000000"/>
              </a:solidFill>
              <a:effectLst/>
              <a:latin typeface="+mn-lt"/>
              <a:ea typeface="+mn-ea"/>
              <a:cs typeface="+mn-cs"/>
            </a:rPr>
            <a:t>average</a:t>
          </a:r>
          <a:r>
            <a:rPr lang="en-US" sz="1600" b="1" baseline="0">
              <a:solidFill>
                <a:sysClr val="windowText" lastClr="000000"/>
              </a:solidFill>
              <a:effectLst/>
              <a:latin typeface="+mn-lt"/>
              <a:ea typeface="+mn-ea"/>
              <a:cs typeface="+mn-cs"/>
            </a:rPr>
            <a:t> customer rating</a:t>
          </a:r>
          <a:endParaRPr lang="en-US" sz="1600" b="1" i="0" u="none" strike="noStrike">
            <a:solidFill>
              <a:sysClr val="windowText" lastClr="000000"/>
            </a:solidFill>
            <a:latin typeface="Calibri"/>
            <a:ea typeface="Calibri"/>
            <a:cs typeface="Calibri"/>
          </a:endParaRPr>
        </a:p>
        <a:p>
          <a:pPr algn="ctr"/>
          <a:fld id="{858911E7-B7C0-407C-9D27-80ACB9F5708E}" type="TxLink">
            <a:rPr lang="en-US" sz="1600" b="1" i="0" u="none" strike="noStrike">
              <a:solidFill>
                <a:sysClr val="windowText" lastClr="000000"/>
              </a:solidFill>
              <a:latin typeface="Calibri"/>
              <a:ea typeface="Calibri"/>
              <a:cs typeface="Calibri"/>
            </a:rPr>
            <a:pPr algn="ctr"/>
            <a:t>3</a:t>
          </a:fld>
          <a:endParaRPr lang="en-US" sz="1600" b="1">
            <a:solidFill>
              <a:sysClr val="windowText" lastClr="000000"/>
            </a:solidFill>
          </a:endParaRPr>
        </a:p>
      </xdr:txBody>
    </xdr:sp>
    <xdr:clientData/>
  </xdr:twoCellAnchor>
  <xdr:twoCellAnchor>
    <xdr:from>
      <xdr:col>0</xdr:col>
      <xdr:colOff>0</xdr:colOff>
      <xdr:row>28</xdr:row>
      <xdr:rowOff>10025</xdr:rowOff>
    </xdr:from>
    <xdr:to>
      <xdr:col>21</xdr:col>
      <xdr:colOff>260683</xdr:colOff>
      <xdr:row>32</xdr:row>
      <xdr:rowOff>70183</xdr:rowOff>
    </xdr:to>
    <xdr:sp macro="" textlink="">
      <xdr:nvSpPr>
        <xdr:cNvPr id="19" name="TextBox 18">
          <a:extLst>
            <a:ext uri="{FF2B5EF4-FFF2-40B4-BE49-F238E27FC236}">
              <a16:creationId xmlns:a16="http://schemas.microsoft.com/office/drawing/2014/main" id="{8B3365C3-D462-C154-6496-4D6F8A5A5B9B}"/>
            </a:ext>
          </a:extLst>
        </xdr:cNvPr>
        <xdr:cNvSpPr txBox="1"/>
      </xdr:nvSpPr>
      <xdr:spPr>
        <a:xfrm>
          <a:off x="0" y="5333999"/>
          <a:ext cx="13104394" cy="82215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rPr>
            <a:t>• Sports and Clothing are the top revenue-generating categories, contributing the highest share of total sales.</a:t>
          </a:r>
        </a:p>
        <a:p>
          <a:r>
            <a:rPr lang="en-US" sz="1200" b="1">
              <a:solidFill>
                <a:srgbClr val="FF0000"/>
              </a:solidFill>
            </a:rPr>
            <a:t>• Bangalore and Pune generate the highest sales, making them the strongest performing business locations.</a:t>
          </a:r>
        </a:p>
        <a:p>
          <a:r>
            <a:rPr lang="en-US" sz="1200" b="1">
              <a:solidFill>
                <a:srgbClr val="FF0000"/>
              </a:solidFill>
            </a:rPr>
            <a:t>• Digital payments (UPI + Cards) are preferred over cash transactions, showing a strong shift in customer payment behavior.</a:t>
          </a:r>
        </a:p>
        <a:p>
          <a:r>
            <a:rPr lang="en-US" sz="1200" b="1">
              <a:solidFill>
                <a:srgbClr val="FF0000"/>
              </a:solidFill>
            </a:rPr>
            <a:t>• Faster delivery times lead to better customer ratings, improving customer satisfaction and retention.</a:t>
          </a:r>
        </a:p>
        <a:p>
          <a:endParaRPr lang="en-US" sz="1100"/>
        </a:p>
      </xdr:txBody>
    </xdr:sp>
    <xdr:clientData/>
  </xdr:twoCellAnchor>
  <xdr:twoCellAnchor>
    <xdr:from>
      <xdr:col>1</xdr:col>
      <xdr:colOff>571500</xdr:colOff>
      <xdr:row>5</xdr:row>
      <xdr:rowOff>40105</xdr:rowOff>
    </xdr:from>
    <xdr:to>
      <xdr:col>8</xdr:col>
      <xdr:colOff>451184</xdr:colOff>
      <xdr:row>16</xdr:row>
      <xdr:rowOff>170447</xdr:rowOff>
    </xdr:to>
    <xdr:graphicFrame macro="">
      <xdr:nvGraphicFramePr>
        <xdr:cNvPr id="2" name="Chart 1">
          <a:extLst>
            <a:ext uri="{FF2B5EF4-FFF2-40B4-BE49-F238E27FC236}">
              <a16:creationId xmlns:a16="http://schemas.microsoft.com/office/drawing/2014/main" id="{0BCC7EED-8B01-4C09-9733-2A5A75575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6.465353240739" createdVersion="8" refreshedVersion="8" minRefreshableVersion="3" recordCount="300" xr:uid="{E99FEFFD-E38A-467B-9CF0-22664A4D5459}">
  <cacheSource type="worksheet">
    <worksheetSource ref="A1:U301" sheet="cleaning"/>
  </cacheSource>
  <cacheFields count="21">
    <cacheField name="Order_ID" numFmtId="0">
      <sharedItems/>
    </cacheField>
    <cacheField name="Order_Date" numFmtId="0">
      <sharedItems/>
    </cacheField>
    <cacheField name="month" numFmtId="0">
      <sharedItems count="12">
        <s v="Apr"/>
        <s v="Jan"/>
        <s v="Aug"/>
        <s v="Mar"/>
        <s v="Nov"/>
        <s v="Jul"/>
        <s v="Jun"/>
        <s v="May"/>
        <s v="Oct"/>
        <s v="Feb"/>
        <s v="Sep"/>
        <s v="Dec"/>
      </sharedItems>
    </cacheField>
    <cacheField name="Customer_Age" numFmtId="0">
      <sharedItems containsSemiMixedTypes="0" containsString="0" containsNumber="1" containsInteger="1" minValue="18" maxValue="60"/>
    </cacheField>
    <cacheField name="age group" numFmtId="0">
      <sharedItems count="3">
        <s v="adult"/>
        <s v="senior"/>
        <s v="teenager"/>
      </sharedItems>
    </cacheField>
    <cacheField name="City" numFmtId="0">
      <sharedItems count="6">
        <s v="Bangalore"/>
        <s v="Hyderabad"/>
        <s v="Pune"/>
        <s v="Mumbai"/>
        <s v="Delhi"/>
        <s v="Chennai"/>
      </sharedItems>
    </cacheField>
    <cacheField name="Product_Category" numFmtId="0">
      <sharedItems count="6">
        <s v="Home Appliances"/>
        <s v="Sports"/>
        <s v="Clothing"/>
        <s v="Electronics"/>
        <s v="Books"/>
        <s v="Beauty"/>
      </sharedItems>
    </cacheField>
    <cacheField name="Product_Price" numFmtId="0">
      <sharedItems containsSemiMixedTypes="0" containsString="0" containsNumber="1" minValue="223.55" maxValue="4981.6099999999997"/>
    </cacheField>
    <cacheField name="Quantity" numFmtId="0">
      <sharedItems containsSemiMixedTypes="0" containsString="0" containsNumber="1" containsInteger="1" minValue="1" maxValue="5"/>
    </cacheField>
    <cacheField name="total amount" numFmtId="0">
      <sharedItems containsSemiMixedTypes="0" containsString="0" containsNumber="1" minValue="307.61" maxValue="24908.05"/>
    </cacheField>
    <cacheField name="Payment_Method" numFmtId="0">
      <sharedItems count="5">
        <s v="Cash on Delivery"/>
        <s v="Net Banking"/>
        <s v="Credit Card"/>
        <s v="UPI"/>
        <s v="Debit Card"/>
      </sharedItems>
    </cacheField>
    <cacheField name="Delivery_Time_Days" numFmtId="0">
      <sharedItems containsSemiMixedTypes="0" containsString="0" containsNumber="1" containsInteger="1" minValue="1" maxValue="10" count="10">
        <n v="9"/>
        <n v="4"/>
        <n v="5"/>
        <n v="10"/>
        <n v="8"/>
        <n v="2"/>
        <n v="3"/>
        <n v="1"/>
        <n v="6"/>
        <n v="7"/>
      </sharedItems>
    </cacheField>
    <cacheField name="Customer_Rating" numFmtId="0">
      <sharedItems containsSemiMixedTypes="0" containsString="0" containsNumber="1" containsInteger="1" minValue="1" maxValue="5"/>
    </cacheField>
    <cacheField name="priority customer" numFmtId="0">
      <sharedItems count="2">
        <s v="Priority cust"/>
        <s v="Regular cust"/>
      </sharedItems>
    </cacheField>
    <cacheField name="CC" numFmtId="0">
      <sharedItems/>
    </cacheField>
    <cacheField name="PMC" numFmtId="0">
      <sharedItems/>
    </cacheField>
    <cacheField name="tax %" numFmtId="0">
      <sharedItems containsSemiMixedTypes="0" containsString="0" containsNumber="1" minValue="0.05" maxValue="0.18"/>
    </cacheField>
    <cacheField name="category_wise_revenue" numFmtId="0">
      <sharedItems containsSemiMixedTypes="0" containsString="0" containsNumber="1" containsInteger="1" minValue="240000" maxValue="560000"/>
    </cacheField>
    <cacheField name="transactions" numFmtId="0">
      <sharedItems containsSemiMixedTypes="0" containsString="0" containsNumber="1" containsInteger="1" minValue="31" maxValue="90"/>
    </cacheField>
    <cacheField name="returns%" numFmtId="0">
      <sharedItems containsSemiMixedTypes="0" containsString="0" containsNumber="1" containsInteger="1" minValue="7" maxValue="15"/>
    </cacheField>
    <cacheField name="benefits" numFmtId="0">
      <sharedItems containsSemiMixedTypes="0" containsString="0" containsNumber="1" containsInteger="1" minValue="30" maxValue="100"/>
    </cacheField>
  </cacheFields>
  <extLst>
    <ext xmlns:x14="http://schemas.microsoft.com/office/spreadsheetml/2009/9/main" uri="{725AE2AE-9491-48be-B2B4-4EB974FC3084}">
      <x14:pivotCacheDefinition pivotCacheId="194614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s v="2025-04-07"/>
    <x v="0"/>
    <n v="43"/>
    <x v="0"/>
    <x v="0"/>
    <x v="0"/>
    <n v="2100"/>
    <n v="4"/>
    <n v="8400"/>
    <x v="0"/>
    <x v="0"/>
    <n v="4"/>
    <x v="0"/>
    <s v="HA1"/>
    <s v="COD"/>
    <n v="0.1"/>
    <n v="560000"/>
    <n v="31"/>
    <n v="13"/>
    <n v="60"/>
  </r>
  <r>
    <s v="ORD0002"/>
    <s v="2025-01-04"/>
    <x v="1"/>
    <n v="23"/>
    <x v="0"/>
    <x v="1"/>
    <x v="1"/>
    <n v="1088.42"/>
    <n v="3"/>
    <n v="3265.26"/>
    <x v="0"/>
    <x v="1"/>
    <n v="5"/>
    <x v="0"/>
    <s v="SP1"/>
    <s v="COD"/>
    <n v="0.12"/>
    <n v="240000"/>
    <n v="31"/>
    <n v="14"/>
    <n v="30"/>
  </r>
  <r>
    <s v="ORD0003"/>
    <s v="2025-08-21"/>
    <x v="2"/>
    <n v="57"/>
    <x v="1"/>
    <x v="2"/>
    <x v="2"/>
    <n v="4819.04"/>
    <n v="2"/>
    <n v="9638.08"/>
    <x v="1"/>
    <x v="1"/>
    <n v="5"/>
    <x v="1"/>
    <s v="CO1"/>
    <s v="NB"/>
    <n v="0.12"/>
    <n v="350000"/>
    <n v="50"/>
    <n v="12"/>
    <n v="100"/>
  </r>
  <r>
    <s v="ORD0004"/>
    <s v="2025-04-14"/>
    <x v="0"/>
    <n v="46"/>
    <x v="0"/>
    <x v="3"/>
    <x v="3"/>
    <n v="4876.28"/>
    <n v="5"/>
    <n v="24381.399999999998"/>
    <x v="2"/>
    <x v="2"/>
    <n v="3"/>
    <x v="1"/>
    <s v="EL1"/>
    <s v="CC"/>
    <n v="0.18"/>
    <n v="450000"/>
    <n v="80"/>
    <n v="15"/>
    <n v="50"/>
  </r>
  <r>
    <s v="ORD0005"/>
    <s v="2025-03-24"/>
    <x v="3"/>
    <n v="24"/>
    <x v="0"/>
    <x v="3"/>
    <x v="2"/>
    <n v="642.13"/>
    <n v="5"/>
    <n v="3210.65"/>
    <x v="3"/>
    <x v="3"/>
    <n v="4"/>
    <x v="0"/>
    <s v="CO1"/>
    <s v="UPI"/>
    <n v="0.12"/>
    <n v="350000"/>
    <n v="50"/>
    <n v="12"/>
    <n v="100"/>
  </r>
  <r>
    <s v="ORD0006"/>
    <s v="2025-01-14"/>
    <x v="1"/>
    <n v="55"/>
    <x v="1"/>
    <x v="1"/>
    <x v="0"/>
    <n v="1806.15"/>
    <n v="5"/>
    <n v="9030.75"/>
    <x v="4"/>
    <x v="3"/>
    <n v="1"/>
    <x v="1"/>
    <s v="HA1"/>
    <s v="DC"/>
    <n v="0.1"/>
    <n v="560000"/>
    <n v="90"/>
    <n v="13"/>
    <n v="60"/>
  </r>
  <r>
    <s v="ORD0007"/>
    <s v="2025-11-16"/>
    <x v="4"/>
    <n v="46"/>
    <x v="0"/>
    <x v="4"/>
    <x v="2"/>
    <n v="4321.12"/>
    <n v="1"/>
    <n v="4321.12"/>
    <x v="4"/>
    <x v="0"/>
    <n v="2"/>
    <x v="1"/>
    <s v="CO1"/>
    <s v="DC"/>
    <n v="0.12"/>
    <n v="350000"/>
    <n v="90"/>
    <n v="12"/>
    <n v="100"/>
  </r>
  <r>
    <s v="ORD0008"/>
    <s v="2025-07-29"/>
    <x v="5"/>
    <n v="55"/>
    <x v="1"/>
    <x v="4"/>
    <x v="4"/>
    <n v="2454.96"/>
    <n v="5"/>
    <n v="12274.8"/>
    <x v="3"/>
    <x v="0"/>
    <n v="4"/>
    <x v="0"/>
    <s v="B01"/>
    <s v="UPI"/>
    <n v="0.05"/>
    <n v="400000"/>
    <n v="50"/>
    <n v="7"/>
    <n v="40"/>
  </r>
  <r>
    <s v="ORD0009"/>
    <s v="2025-06-04"/>
    <x v="6"/>
    <n v="36"/>
    <x v="0"/>
    <x v="0"/>
    <x v="5"/>
    <n v="2270.61"/>
    <n v="3"/>
    <n v="6811.83"/>
    <x v="4"/>
    <x v="4"/>
    <n v="3"/>
    <x v="1"/>
    <s v="BE1"/>
    <s v="DC"/>
    <n v="0.14000000000000001"/>
    <n v="300000"/>
    <n v="90"/>
    <n v="12"/>
    <n v="70"/>
  </r>
  <r>
    <s v="ORD0010"/>
    <s v="2025-01-15"/>
    <x v="1"/>
    <n v="30"/>
    <x v="0"/>
    <x v="5"/>
    <x v="2"/>
    <n v="3775.38"/>
    <n v="3"/>
    <n v="11326.14"/>
    <x v="0"/>
    <x v="5"/>
    <n v="5"/>
    <x v="0"/>
    <s v="CO1"/>
    <s v="COD"/>
    <n v="0.12"/>
    <n v="350000"/>
    <n v="31"/>
    <n v="12"/>
    <n v="100"/>
  </r>
  <r>
    <s v="ORD0011"/>
    <s v="2025-03-18"/>
    <x v="3"/>
    <n v="23"/>
    <x v="0"/>
    <x v="5"/>
    <x v="2"/>
    <n v="4116.28"/>
    <n v="4"/>
    <n v="16465.12"/>
    <x v="1"/>
    <x v="5"/>
    <n v="4"/>
    <x v="0"/>
    <s v="CO1"/>
    <s v="NB"/>
    <n v="0.12"/>
    <n v="350000"/>
    <n v="50"/>
    <n v="12"/>
    <n v="100"/>
  </r>
  <r>
    <s v="ORD0012"/>
    <s v="2025-07-01"/>
    <x v="5"/>
    <n v="44"/>
    <x v="0"/>
    <x v="2"/>
    <x v="0"/>
    <n v="3978.48"/>
    <n v="5"/>
    <n v="19892.400000000001"/>
    <x v="2"/>
    <x v="6"/>
    <n v="3"/>
    <x v="1"/>
    <s v="HA1"/>
    <s v="CC"/>
    <n v="0.1"/>
    <n v="560000"/>
    <n v="80"/>
    <n v="13"/>
    <n v="60"/>
  </r>
  <r>
    <s v="ORD0013"/>
    <s v="2025-03-31"/>
    <x v="3"/>
    <n v="33"/>
    <x v="0"/>
    <x v="2"/>
    <x v="1"/>
    <n v="4531.84"/>
    <n v="5"/>
    <n v="22659.200000000001"/>
    <x v="4"/>
    <x v="0"/>
    <n v="2"/>
    <x v="1"/>
    <s v="SP1"/>
    <s v="DC"/>
    <n v="0.12"/>
    <n v="240000"/>
    <n v="90"/>
    <n v="14"/>
    <n v="30"/>
  </r>
  <r>
    <s v="ORD0014"/>
    <s v="2025-08-13"/>
    <x v="2"/>
    <n v="50"/>
    <x v="0"/>
    <x v="0"/>
    <x v="2"/>
    <n v="3038.19"/>
    <n v="1"/>
    <n v="3038.19"/>
    <x v="4"/>
    <x v="1"/>
    <n v="4"/>
    <x v="1"/>
    <s v="CO1"/>
    <s v="DC"/>
    <n v="0.12"/>
    <n v="350000"/>
    <n v="90"/>
    <n v="12"/>
    <n v="100"/>
  </r>
  <r>
    <s v="ORD0015"/>
    <s v="2025-04-16"/>
    <x v="0"/>
    <n v="19"/>
    <x v="2"/>
    <x v="4"/>
    <x v="3"/>
    <n v="2182.13"/>
    <n v="5"/>
    <n v="10910.650000000001"/>
    <x v="0"/>
    <x v="3"/>
    <n v="1"/>
    <x v="1"/>
    <s v="EL1"/>
    <s v="COD"/>
    <n v="0.18"/>
    <n v="450000"/>
    <n v="31"/>
    <n v="15"/>
    <n v="50"/>
  </r>
  <r>
    <s v="ORD0016"/>
    <s v="2025-05-14"/>
    <x v="7"/>
    <n v="49"/>
    <x v="0"/>
    <x v="0"/>
    <x v="1"/>
    <n v="1078.4100000000001"/>
    <n v="5"/>
    <n v="5392.05"/>
    <x v="3"/>
    <x v="3"/>
    <n v="3"/>
    <x v="1"/>
    <s v="SP1"/>
    <s v="UPI"/>
    <n v="0.12"/>
    <n v="240000"/>
    <n v="50"/>
    <n v="14"/>
    <n v="30"/>
  </r>
  <r>
    <s v="ORD0017"/>
    <s v="2025-04-13"/>
    <x v="0"/>
    <n v="52"/>
    <x v="1"/>
    <x v="4"/>
    <x v="3"/>
    <n v="1613.93"/>
    <n v="1"/>
    <n v="1613.93"/>
    <x v="3"/>
    <x v="3"/>
    <n v="3"/>
    <x v="1"/>
    <s v="EL1"/>
    <s v="UPI"/>
    <n v="0.18"/>
    <n v="450000"/>
    <n v="50"/>
    <n v="15"/>
    <n v="50"/>
  </r>
  <r>
    <s v="ORD0018"/>
    <s v="2025-03-28"/>
    <x v="3"/>
    <n v="37"/>
    <x v="0"/>
    <x v="0"/>
    <x v="5"/>
    <n v="2424.6"/>
    <n v="4"/>
    <n v="9698.4"/>
    <x v="0"/>
    <x v="0"/>
    <n v="4"/>
    <x v="0"/>
    <s v="BE1"/>
    <s v="COD"/>
    <n v="0.14000000000000001"/>
    <n v="300000"/>
    <n v="31"/>
    <n v="12"/>
    <n v="70"/>
  </r>
  <r>
    <s v="ORD0019"/>
    <s v="2025-10-02"/>
    <x v="8"/>
    <n v="53"/>
    <x v="1"/>
    <x v="5"/>
    <x v="1"/>
    <n v="577.95000000000005"/>
    <n v="4"/>
    <n v="2311.8000000000002"/>
    <x v="1"/>
    <x v="7"/>
    <n v="3"/>
    <x v="1"/>
    <s v="SP1"/>
    <s v="NB"/>
    <n v="0.12"/>
    <n v="240000"/>
    <n v="50"/>
    <n v="14"/>
    <n v="30"/>
  </r>
  <r>
    <s v="ORD0020"/>
    <s v="2025-02-21"/>
    <x v="9"/>
    <n v="26"/>
    <x v="0"/>
    <x v="3"/>
    <x v="5"/>
    <n v="4279.2"/>
    <n v="5"/>
    <n v="21396"/>
    <x v="2"/>
    <x v="8"/>
    <n v="3"/>
    <x v="1"/>
    <s v="BE1"/>
    <s v="CC"/>
    <n v="0.14000000000000001"/>
    <n v="300000"/>
    <n v="80"/>
    <n v="12"/>
    <n v="70"/>
  </r>
  <r>
    <s v="ORD0021"/>
    <s v="2025-08-18"/>
    <x v="2"/>
    <n v="41"/>
    <x v="0"/>
    <x v="4"/>
    <x v="0"/>
    <n v="2028.05"/>
    <n v="3"/>
    <n v="6084.15"/>
    <x v="3"/>
    <x v="4"/>
    <n v="3"/>
    <x v="1"/>
    <s v="HA1"/>
    <s v="UPI"/>
    <n v="0.1"/>
    <n v="560000"/>
    <n v="50"/>
    <n v="13"/>
    <n v="60"/>
  </r>
  <r>
    <s v="ORD0022"/>
    <s v="2025-03-11"/>
    <x v="3"/>
    <n v="36"/>
    <x v="0"/>
    <x v="4"/>
    <x v="3"/>
    <n v="393.3"/>
    <n v="1"/>
    <n v="393.3"/>
    <x v="3"/>
    <x v="8"/>
    <n v="5"/>
    <x v="1"/>
    <s v="EL1"/>
    <s v="UPI"/>
    <n v="0.18"/>
    <n v="450000"/>
    <n v="50"/>
    <n v="15"/>
    <n v="50"/>
  </r>
  <r>
    <s v="ORD0023"/>
    <s v="2025-09-05"/>
    <x v="10"/>
    <n v="29"/>
    <x v="0"/>
    <x v="3"/>
    <x v="0"/>
    <n v="4962.08"/>
    <n v="4"/>
    <n v="19848.32"/>
    <x v="3"/>
    <x v="9"/>
    <n v="3"/>
    <x v="1"/>
    <s v="HA1"/>
    <s v="UPI"/>
    <n v="0.1"/>
    <n v="560000"/>
    <n v="50"/>
    <n v="13"/>
    <n v="60"/>
  </r>
  <r>
    <s v="ORD0024"/>
    <s v="2025-07-21"/>
    <x v="5"/>
    <n v="35"/>
    <x v="0"/>
    <x v="5"/>
    <x v="4"/>
    <n v="2134.5"/>
    <n v="4"/>
    <n v="8538"/>
    <x v="1"/>
    <x v="7"/>
    <n v="2"/>
    <x v="1"/>
    <s v="B01"/>
    <s v="NB"/>
    <n v="0.05"/>
    <n v="400000"/>
    <n v="50"/>
    <n v="7"/>
    <n v="40"/>
  </r>
  <r>
    <s v="ORD0025"/>
    <s v="2025-06-30"/>
    <x v="6"/>
    <n v="32"/>
    <x v="0"/>
    <x v="2"/>
    <x v="4"/>
    <n v="1404.66"/>
    <n v="1"/>
    <n v="1404.66"/>
    <x v="2"/>
    <x v="9"/>
    <n v="3"/>
    <x v="1"/>
    <s v="B01"/>
    <s v="CC"/>
    <n v="0.05"/>
    <n v="400000"/>
    <n v="80"/>
    <n v="7"/>
    <n v="40"/>
  </r>
  <r>
    <s v="ORD0026"/>
    <s v="2025-05-17"/>
    <x v="7"/>
    <n v="53"/>
    <x v="1"/>
    <x v="4"/>
    <x v="2"/>
    <n v="4074.35"/>
    <n v="3"/>
    <n v="12223.05"/>
    <x v="0"/>
    <x v="5"/>
    <n v="1"/>
    <x v="1"/>
    <s v="CO1"/>
    <s v="COD"/>
    <n v="0.12"/>
    <n v="350000"/>
    <n v="31"/>
    <n v="12"/>
    <n v="100"/>
  </r>
  <r>
    <s v="ORD0027"/>
    <s v="2025-10-01"/>
    <x v="8"/>
    <n v="29"/>
    <x v="0"/>
    <x v="3"/>
    <x v="5"/>
    <n v="2724.67"/>
    <n v="4"/>
    <n v="10898.68"/>
    <x v="4"/>
    <x v="8"/>
    <n v="2"/>
    <x v="1"/>
    <s v="BE1"/>
    <s v="DC"/>
    <n v="0.14000000000000001"/>
    <n v="300000"/>
    <n v="90"/>
    <n v="12"/>
    <n v="70"/>
  </r>
  <r>
    <s v="ORD0028"/>
    <s v="2025-03-16"/>
    <x v="3"/>
    <n v="23"/>
    <x v="0"/>
    <x v="4"/>
    <x v="5"/>
    <n v="4871.7"/>
    <n v="2"/>
    <n v="9743.4"/>
    <x v="3"/>
    <x v="7"/>
    <n v="2"/>
    <x v="1"/>
    <s v="BE1"/>
    <s v="UPI"/>
    <n v="0.14000000000000001"/>
    <n v="300000"/>
    <n v="50"/>
    <n v="12"/>
    <n v="70"/>
  </r>
  <r>
    <s v="ORD0029"/>
    <s v="2025-12-09"/>
    <x v="11"/>
    <n v="26"/>
    <x v="0"/>
    <x v="4"/>
    <x v="1"/>
    <n v="934.21"/>
    <n v="3"/>
    <n v="2802.63"/>
    <x v="2"/>
    <x v="4"/>
    <n v="1"/>
    <x v="1"/>
    <s v="SP1"/>
    <s v="CC"/>
    <n v="0.12"/>
    <n v="240000"/>
    <n v="80"/>
    <n v="14"/>
    <n v="30"/>
  </r>
  <r>
    <s v="ORD0030"/>
    <s v="2025-08-02"/>
    <x v="2"/>
    <n v="58"/>
    <x v="1"/>
    <x v="5"/>
    <x v="4"/>
    <n v="1435.73"/>
    <n v="2"/>
    <n v="2871.46"/>
    <x v="2"/>
    <x v="3"/>
    <n v="2"/>
    <x v="1"/>
    <s v="B01"/>
    <s v="CC"/>
    <n v="0.05"/>
    <n v="400000"/>
    <n v="80"/>
    <n v="7"/>
    <n v="40"/>
  </r>
  <r>
    <s v="ORD0031"/>
    <s v="2025-12-09"/>
    <x v="11"/>
    <n v="20"/>
    <x v="2"/>
    <x v="3"/>
    <x v="1"/>
    <n v="1668.69"/>
    <n v="2"/>
    <n v="3337.38"/>
    <x v="4"/>
    <x v="8"/>
    <n v="4"/>
    <x v="1"/>
    <s v="SP1"/>
    <s v="DC"/>
    <n v="0.12"/>
    <n v="240000"/>
    <n v="90"/>
    <n v="14"/>
    <n v="30"/>
  </r>
  <r>
    <s v="ORD0032"/>
    <s v="2025-08-14"/>
    <x v="2"/>
    <n v="42"/>
    <x v="0"/>
    <x v="1"/>
    <x v="2"/>
    <n v="2686.04"/>
    <n v="3"/>
    <n v="8058.12"/>
    <x v="2"/>
    <x v="4"/>
    <n v="3"/>
    <x v="1"/>
    <s v="CO1"/>
    <s v="CC"/>
    <n v="0.12"/>
    <n v="350000"/>
    <n v="80"/>
    <n v="12"/>
    <n v="100"/>
  </r>
  <r>
    <s v="ORD0033"/>
    <s v="2025-03-09"/>
    <x v="3"/>
    <n v="21"/>
    <x v="0"/>
    <x v="4"/>
    <x v="1"/>
    <n v="477.1"/>
    <n v="1"/>
    <n v="477.1"/>
    <x v="4"/>
    <x v="1"/>
    <n v="3"/>
    <x v="1"/>
    <s v="SP1"/>
    <s v="DC"/>
    <n v="0.12"/>
    <n v="240000"/>
    <n v="90"/>
    <n v="14"/>
    <n v="30"/>
  </r>
  <r>
    <s v="ORD0034"/>
    <s v="2025-01-11"/>
    <x v="1"/>
    <n v="33"/>
    <x v="0"/>
    <x v="4"/>
    <x v="5"/>
    <n v="885.81"/>
    <n v="1"/>
    <n v="885.81"/>
    <x v="2"/>
    <x v="6"/>
    <n v="2"/>
    <x v="1"/>
    <s v="BE1"/>
    <s v="CC"/>
    <n v="0.14000000000000001"/>
    <n v="300000"/>
    <n v="80"/>
    <n v="12"/>
    <n v="70"/>
  </r>
  <r>
    <s v="ORD0035"/>
    <s v="2025-06-10"/>
    <x v="6"/>
    <n v="50"/>
    <x v="0"/>
    <x v="5"/>
    <x v="2"/>
    <n v="951.52"/>
    <n v="5"/>
    <n v="4757.6000000000004"/>
    <x v="4"/>
    <x v="8"/>
    <n v="1"/>
    <x v="1"/>
    <s v="CO1"/>
    <s v="DC"/>
    <n v="0.12"/>
    <n v="350000"/>
    <n v="90"/>
    <n v="12"/>
    <n v="100"/>
  </r>
  <r>
    <s v="ORD0036"/>
    <s v="2025-08-14"/>
    <x v="2"/>
    <n v="21"/>
    <x v="0"/>
    <x v="4"/>
    <x v="1"/>
    <n v="2548.16"/>
    <n v="2"/>
    <n v="5096.32"/>
    <x v="1"/>
    <x v="2"/>
    <n v="1"/>
    <x v="1"/>
    <s v="SP1"/>
    <s v="NB"/>
    <n v="0.12"/>
    <n v="240000"/>
    <n v="50"/>
    <n v="14"/>
    <n v="30"/>
  </r>
  <r>
    <s v="ORD0037"/>
    <s v="2025-10-29"/>
    <x v="8"/>
    <n v="55"/>
    <x v="1"/>
    <x v="4"/>
    <x v="2"/>
    <n v="3901.4"/>
    <n v="2"/>
    <n v="7802.8"/>
    <x v="1"/>
    <x v="6"/>
    <n v="4"/>
    <x v="1"/>
    <s v="CO1"/>
    <s v="NB"/>
    <n v="0.12"/>
    <n v="350000"/>
    <n v="50"/>
    <n v="12"/>
    <n v="100"/>
  </r>
  <r>
    <s v="ORD0038"/>
    <s v="2025-02-01"/>
    <x v="9"/>
    <n v="20"/>
    <x v="2"/>
    <x v="1"/>
    <x v="2"/>
    <n v="3255.11"/>
    <n v="3"/>
    <n v="9765.33"/>
    <x v="2"/>
    <x v="9"/>
    <n v="2"/>
    <x v="1"/>
    <s v="CO1"/>
    <s v="CC"/>
    <n v="0.12"/>
    <n v="350000"/>
    <n v="80"/>
    <n v="12"/>
    <n v="100"/>
  </r>
  <r>
    <s v="ORD0039"/>
    <s v="2025-08-14"/>
    <x v="2"/>
    <n v="23"/>
    <x v="0"/>
    <x v="1"/>
    <x v="0"/>
    <n v="3044.88"/>
    <n v="1"/>
    <n v="3044.88"/>
    <x v="0"/>
    <x v="0"/>
    <n v="1"/>
    <x v="1"/>
    <s v="HA1"/>
    <s v="COD"/>
    <n v="0.1"/>
    <n v="560000"/>
    <n v="31"/>
    <n v="13"/>
    <n v="60"/>
  </r>
  <r>
    <s v="ORD0040"/>
    <s v="2025-06-18"/>
    <x v="6"/>
    <n v="50"/>
    <x v="0"/>
    <x v="0"/>
    <x v="1"/>
    <n v="1257.98"/>
    <n v="1"/>
    <n v="1257.98"/>
    <x v="1"/>
    <x v="7"/>
    <n v="5"/>
    <x v="1"/>
    <s v="SP1"/>
    <s v="NB"/>
    <n v="0.12"/>
    <n v="240000"/>
    <n v="50"/>
    <n v="14"/>
    <n v="30"/>
  </r>
  <r>
    <s v="ORD0041"/>
    <s v="2025-10-31"/>
    <x v="8"/>
    <n v="53"/>
    <x v="1"/>
    <x v="3"/>
    <x v="0"/>
    <n v="816.96"/>
    <n v="5"/>
    <n v="4084.8"/>
    <x v="2"/>
    <x v="6"/>
    <n v="5"/>
    <x v="0"/>
    <s v="HA1"/>
    <s v="CC"/>
    <n v="0.1"/>
    <n v="560000"/>
    <n v="80"/>
    <n v="13"/>
    <n v="60"/>
  </r>
  <r>
    <s v="ORD0042"/>
    <s v="2025-07-07"/>
    <x v="5"/>
    <n v="23"/>
    <x v="0"/>
    <x v="4"/>
    <x v="5"/>
    <n v="1312.78"/>
    <n v="2"/>
    <n v="2625.56"/>
    <x v="2"/>
    <x v="3"/>
    <n v="2"/>
    <x v="1"/>
    <s v="BE1"/>
    <s v="CC"/>
    <n v="0.14000000000000001"/>
    <n v="300000"/>
    <n v="80"/>
    <n v="12"/>
    <n v="70"/>
  </r>
  <r>
    <s v="ORD0043"/>
    <s v="2025-08-21"/>
    <x v="2"/>
    <n v="45"/>
    <x v="0"/>
    <x v="1"/>
    <x v="3"/>
    <n v="2966.63"/>
    <n v="3"/>
    <n v="8899.89"/>
    <x v="2"/>
    <x v="4"/>
    <n v="2"/>
    <x v="1"/>
    <s v="EL1"/>
    <s v="CC"/>
    <n v="0.18"/>
    <n v="450000"/>
    <n v="80"/>
    <n v="15"/>
    <n v="50"/>
  </r>
  <r>
    <s v="ORD0044"/>
    <s v="2025-05-29"/>
    <x v="7"/>
    <n v="20"/>
    <x v="2"/>
    <x v="3"/>
    <x v="0"/>
    <n v="1864.22"/>
    <n v="3"/>
    <n v="5592.66"/>
    <x v="1"/>
    <x v="4"/>
    <n v="1"/>
    <x v="1"/>
    <s v="HA1"/>
    <s v="NB"/>
    <n v="0.1"/>
    <n v="560000"/>
    <n v="50"/>
    <n v="13"/>
    <n v="60"/>
  </r>
  <r>
    <s v="ORD0045"/>
    <s v="2025-01-28"/>
    <x v="1"/>
    <n v="59"/>
    <x v="1"/>
    <x v="4"/>
    <x v="4"/>
    <n v="2967.96"/>
    <n v="4"/>
    <n v="11871.84"/>
    <x v="2"/>
    <x v="6"/>
    <n v="1"/>
    <x v="1"/>
    <s v="B01"/>
    <s v="CC"/>
    <n v="0.05"/>
    <n v="400000"/>
    <n v="80"/>
    <n v="7"/>
    <n v="40"/>
  </r>
  <r>
    <s v="ORD0046"/>
    <s v="2025-08-25"/>
    <x v="2"/>
    <n v="37"/>
    <x v="0"/>
    <x v="3"/>
    <x v="1"/>
    <n v="3883.55"/>
    <n v="5"/>
    <n v="19417.75"/>
    <x v="0"/>
    <x v="7"/>
    <n v="4"/>
    <x v="0"/>
    <s v="SP1"/>
    <s v="COD"/>
    <n v="0.12"/>
    <n v="240000"/>
    <n v="31"/>
    <n v="14"/>
    <n v="30"/>
  </r>
  <r>
    <s v="ORD0047"/>
    <s v="2025-01-08"/>
    <x v="1"/>
    <n v="29"/>
    <x v="0"/>
    <x v="4"/>
    <x v="1"/>
    <n v="1405.75"/>
    <n v="1"/>
    <n v="1405.75"/>
    <x v="3"/>
    <x v="6"/>
    <n v="1"/>
    <x v="1"/>
    <s v="SP1"/>
    <s v="UPI"/>
    <n v="0.12"/>
    <n v="240000"/>
    <n v="50"/>
    <n v="14"/>
    <n v="30"/>
  </r>
  <r>
    <s v="ORD0048"/>
    <s v="2025-09-01"/>
    <x v="10"/>
    <n v="47"/>
    <x v="0"/>
    <x v="5"/>
    <x v="3"/>
    <n v="4299.9399999999996"/>
    <n v="5"/>
    <n v="21499.699999999997"/>
    <x v="1"/>
    <x v="7"/>
    <n v="3"/>
    <x v="1"/>
    <s v="EL1"/>
    <s v="NB"/>
    <n v="0.18"/>
    <n v="450000"/>
    <n v="50"/>
    <n v="15"/>
    <n v="50"/>
  </r>
  <r>
    <s v="ORD0049"/>
    <s v="2025-11-13"/>
    <x v="4"/>
    <n v="59"/>
    <x v="1"/>
    <x v="4"/>
    <x v="5"/>
    <n v="860.99"/>
    <n v="1"/>
    <n v="860.99"/>
    <x v="4"/>
    <x v="5"/>
    <n v="5"/>
    <x v="1"/>
    <s v="BE1"/>
    <s v="DC"/>
    <n v="0.14000000000000001"/>
    <n v="300000"/>
    <n v="90"/>
    <n v="12"/>
    <n v="70"/>
  </r>
  <r>
    <s v="ORD0050"/>
    <s v="2025-05-05"/>
    <x v="7"/>
    <n v="34"/>
    <x v="0"/>
    <x v="3"/>
    <x v="3"/>
    <n v="2519.5500000000002"/>
    <n v="4"/>
    <n v="10078.200000000001"/>
    <x v="1"/>
    <x v="1"/>
    <n v="2"/>
    <x v="1"/>
    <s v="EL1"/>
    <s v="NB"/>
    <n v="0.18"/>
    <n v="450000"/>
    <n v="50"/>
    <n v="15"/>
    <n v="50"/>
  </r>
  <r>
    <s v="ORD0051"/>
    <s v="2025-07-07"/>
    <x v="5"/>
    <n v="31"/>
    <x v="0"/>
    <x v="0"/>
    <x v="3"/>
    <n v="746.83"/>
    <n v="4"/>
    <n v="2987.32"/>
    <x v="4"/>
    <x v="2"/>
    <n v="2"/>
    <x v="1"/>
    <s v="EL1"/>
    <s v="DC"/>
    <n v="0.18"/>
    <n v="450000"/>
    <n v="90"/>
    <n v="15"/>
    <n v="50"/>
  </r>
  <r>
    <s v="ORD0052"/>
    <s v="2025-09-18"/>
    <x v="10"/>
    <n v="28"/>
    <x v="0"/>
    <x v="3"/>
    <x v="0"/>
    <n v="3945.76"/>
    <n v="4"/>
    <n v="15783.04"/>
    <x v="0"/>
    <x v="9"/>
    <n v="2"/>
    <x v="1"/>
    <s v="HA1"/>
    <s v="COD"/>
    <n v="0.1"/>
    <n v="560000"/>
    <n v="31"/>
    <n v="13"/>
    <n v="60"/>
  </r>
  <r>
    <s v="ORD0053"/>
    <s v="2025-08-19"/>
    <x v="2"/>
    <n v="29"/>
    <x v="0"/>
    <x v="5"/>
    <x v="4"/>
    <n v="4685.42"/>
    <n v="1"/>
    <n v="4685.42"/>
    <x v="2"/>
    <x v="9"/>
    <n v="1"/>
    <x v="1"/>
    <s v="B01"/>
    <s v="CC"/>
    <n v="0.05"/>
    <n v="400000"/>
    <n v="80"/>
    <n v="7"/>
    <n v="40"/>
  </r>
  <r>
    <s v="ORD0054"/>
    <s v="2025-02-16"/>
    <x v="9"/>
    <n v="26"/>
    <x v="0"/>
    <x v="1"/>
    <x v="5"/>
    <n v="3191.35"/>
    <n v="1"/>
    <n v="3191.35"/>
    <x v="3"/>
    <x v="0"/>
    <n v="5"/>
    <x v="1"/>
    <s v="BE1"/>
    <s v="UPI"/>
    <n v="0.14000000000000001"/>
    <n v="300000"/>
    <n v="50"/>
    <n v="12"/>
    <n v="70"/>
  </r>
  <r>
    <s v="ORD0055"/>
    <s v="2025-02-12"/>
    <x v="9"/>
    <n v="46"/>
    <x v="0"/>
    <x v="0"/>
    <x v="2"/>
    <n v="3943.23"/>
    <n v="1"/>
    <n v="3943.23"/>
    <x v="0"/>
    <x v="5"/>
    <n v="3"/>
    <x v="1"/>
    <s v="CO1"/>
    <s v="COD"/>
    <n v="0.12"/>
    <n v="350000"/>
    <n v="31"/>
    <n v="12"/>
    <n v="100"/>
  </r>
  <r>
    <s v="ORD0056"/>
    <s v="2025-10-11"/>
    <x v="8"/>
    <n v="37"/>
    <x v="0"/>
    <x v="0"/>
    <x v="0"/>
    <n v="3257.33"/>
    <n v="2"/>
    <n v="6514.66"/>
    <x v="1"/>
    <x v="3"/>
    <n v="5"/>
    <x v="1"/>
    <s v="HA1"/>
    <s v="NB"/>
    <n v="0.1"/>
    <n v="560000"/>
    <n v="50"/>
    <n v="13"/>
    <n v="60"/>
  </r>
  <r>
    <s v="ORD0057"/>
    <s v="2025-09-24"/>
    <x v="10"/>
    <n v="19"/>
    <x v="2"/>
    <x v="0"/>
    <x v="1"/>
    <n v="2089.09"/>
    <n v="5"/>
    <n v="10445.450000000001"/>
    <x v="0"/>
    <x v="7"/>
    <n v="3"/>
    <x v="1"/>
    <s v="SP1"/>
    <s v="COD"/>
    <n v="0.12"/>
    <n v="240000"/>
    <n v="31"/>
    <n v="14"/>
    <n v="30"/>
  </r>
  <r>
    <s v="ORD0058"/>
    <s v="2025-01-09"/>
    <x v="1"/>
    <n v="30"/>
    <x v="0"/>
    <x v="5"/>
    <x v="2"/>
    <n v="992.84"/>
    <n v="4"/>
    <n v="3971.36"/>
    <x v="2"/>
    <x v="1"/>
    <n v="1"/>
    <x v="1"/>
    <s v="CO1"/>
    <s v="CC"/>
    <n v="0.12"/>
    <n v="350000"/>
    <n v="80"/>
    <n v="12"/>
    <n v="100"/>
  </r>
  <r>
    <s v="ORD0059"/>
    <s v="2025-08-21"/>
    <x v="2"/>
    <n v="37"/>
    <x v="0"/>
    <x v="5"/>
    <x v="0"/>
    <n v="1799.69"/>
    <n v="5"/>
    <n v="8998.4500000000007"/>
    <x v="3"/>
    <x v="5"/>
    <n v="2"/>
    <x v="1"/>
    <s v="HA1"/>
    <s v="UPI"/>
    <n v="0.1"/>
    <n v="560000"/>
    <n v="50"/>
    <n v="13"/>
    <n v="60"/>
  </r>
  <r>
    <s v="ORD0060"/>
    <s v="2025-09-29"/>
    <x v="10"/>
    <n v="40"/>
    <x v="0"/>
    <x v="2"/>
    <x v="0"/>
    <n v="307.61"/>
    <n v="1"/>
    <n v="307.61"/>
    <x v="1"/>
    <x v="1"/>
    <n v="3"/>
    <x v="1"/>
    <s v="HA1"/>
    <s v="NB"/>
    <n v="0.1"/>
    <n v="560000"/>
    <n v="50"/>
    <n v="13"/>
    <n v="60"/>
  </r>
  <r>
    <s v="ORD0061"/>
    <s v="2025-12-01"/>
    <x v="11"/>
    <n v="34"/>
    <x v="0"/>
    <x v="0"/>
    <x v="3"/>
    <n v="2957.68"/>
    <n v="4"/>
    <n v="11830.72"/>
    <x v="3"/>
    <x v="7"/>
    <n v="1"/>
    <x v="1"/>
    <s v="EL1"/>
    <s v="UPI"/>
    <n v="0.18"/>
    <n v="450000"/>
    <n v="50"/>
    <n v="15"/>
    <n v="50"/>
  </r>
  <r>
    <s v="ORD0062"/>
    <s v="2025-09-16"/>
    <x v="10"/>
    <n v="42"/>
    <x v="0"/>
    <x v="2"/>
    <x v="4"/>
    <n v="4901.13"/>
    <n v="1"/>
    <n v="4901.13"/>
    <x v="0"/>
    <x v="7"/>
    <n v="5"/>
    <x v="1"/>
    <s v="B01"/>
    <s v="COD"/>
    <n v="0.05"/>
    <n v="400000"/>
    <n v="31"/>
    <n v="7"/>
    <n v="40"/>
  </r>
  <r>
    <s v="ORD0063"/>
    <s v="2025-05-14"/>
    <x v="7"/>
    <n v="50"/>
    <x v="0"/>
    <x v="5"/>
    <x v="2"/>
    <n v="3886.43"/>
    <n v="2"/>
    <n v="7772.86"/>
    <x v="3"/>
    <x v="5"/>
    <n v="1"/>
    <x v="1"/>
    <s v="CO1"/>
    <s v="UPI"/>
    <n v="0.12"/>
    <n v="350000"/>
    <n v="50"/>
    <n v="12"/>
    <n v="100"/>
  </r>
  <r>
    <s v="ORD0064"/>
    <s v="2025-10-02"/>
    <x v="8"/>
    <n v="40"/>
    <x v="0"/>
    <x v="0"/>
    <x v="4"/>
    <n v="4264.84"/>
    <n v="4"/>
    <n v="17059.36"/>
    <x v="0"/>
    <x v="4"/>
    <n v="3"/>
    <x v="1"/>
    <s v="B01"/>
    <s v="COD"/>
    <n v="0.05"/>
    <n v="400000"/>
    <n v="31"/>
    <n v="7"/>
    <n v="40"/>
  </r>
  <r>
    <s v="ORD0065"/>
    <s v="2026-01-01"/>
    <x v="1"/>
    <n v="53"/>
    <x v="1"/>
    <x v="2"/>
    <x v="1"/>
    <n v="2995.05"/>
    <n v="2"/>
    <n v="5990.1"/>
    <x v="2"/>
    <x v="3"/>
    <n v="3"/>
    <x v="1"/>
    <s v="SP1"/>
    <s v="CC"/>
    <n v="0.12"/>
    <n v="240000"/>
    <n v="80"/>
    <n v="14"/>
    <n v="30"/>
  </r>
  <r>
    <s v="ORD0066"/>
    <s v="2025-01-29"/>
    <x v="1"/>
    <n v="56"/>
    <x v="1"/>
    <x v="3"/>
    <x v="3"/>
    <n v="576.41"/>
    <n v="2"/>
    <n v="1152.82"/>
    <x v="3"/>
    <x v="6"/>
    <n v="2"/>
    <x v="1"/>
    <s v="EL1"/>
    <s v="UPI"/>
    <n v="0.18"/>
    <n v="450000"/>
    <n v="50"/>
    <n v="15"/>
    <n v="50"/>
  </r>
  <r>
    <s v="ORD0067"/>
    <s v="2025-03-30"/>
    <x v="3"/>
    <n v="60"/>
    <x v="1"/>
    <x v="5"/>
    <x v="1"/>
    <n v="734.61"/>
    <n v="5"/>
    <n v="3673.05"/>
    <x v="0"/>
    <x v="8"/>
    <n v="3"/>
    <x v="1"/>
    <s v="SP1"/>
    <s v="COD"/>
    <n v="0.12"/>
    <n v="240000"/>
    <n v="31"/>
    <n v="14"/>
    <n v="30"/>
  </r>
  <r>
    <s v="ORD0068"/>
    <s v="2025-10-26"/>
    <x v="8"/>
    <n v="44"/>
    <x v="0"/>
    <x v="1"/>
    <x v="3"/>
    <n v="1752.95"/>
    <n v="2"/>
    <n v="3505.9"/>
    <x v="1"/>
    <x v="6"/>
    <n v="3"/>
    <x v="1"/>
    <s v="EL1"/>
    <s v="NB"/>
    <n v="0.18"/>
    <n v="450000"/>
    <n v="50"/>
    <n v="15"/>
    <n v="50"/>
  </r>
  <r>
    <s v="ORD0069"/>
    <s v="2025-03-07"/>
    <x v="3"/>
    <n v="41"/>
    <x v="0"/>
    <x v="0"/>
    <x v="4"/>
    <n v="4323.3599999999997"/>
    <n v="4"/>
    <n v="17293.439999999999"/>
    <x v="1"/>
    <x v="2"/>
    <n v="1"/>
    <x v="1"/>
    <s v="B01"/>
    <s v="NB"/>
    <n v="0.05"/>
    <n v="400000"/>
    <n v="50"/>
    <n v="7"/>
    <n v="40"/>
  </r>
  <r>
    <s v="ORD0070"/>
    <s v="2025-08-11"/>
    <x v="2"/>
    <n v="33"/>
    <x v="0"/>
    <x v="4"/>
    <x v="2"/>
    <n v="2300.69"/>
    <n v="5"/>
    <n v="11503.45"/>
    <x v="0"/>
    <x v="1"/>
    <n v="5"/>
    <x v="0"/>
    <s v="CO1"/>
    <s v="COD"/>
    <n v="0.12"/>
    <n v="350000"/>
    <n v="31"/>
    <n v="12"/>
    <n v="100"/>
  </r>
  <r>
    <s v="ORD0071"/>
    <s v="2025-11-10"/>
    <x v="4"/>
    <n v="30"/>
    <x v="0"/>
    <x v="2"/>
    <x v="4"/>
    <n v="2328.27"/>
    <n v="4"/>
    <n v="9313.08"/>
    <x v="4"/>
    <x v="1"/>
    <n v="1"/>
    <x v="1"/>
    <s v="B01"/>
    <s v="DC"/>
    <n v="0.05"/>
    <n v="400000"/>
    <n v="90"/>
    <n v="7"/>
    <n v="40"/>
  </r>
  <r>
    <s v="ORD0072"/>
    <s v="2025-11-06"/>
    <x v="4"/>
    <n v="53"/>
    <x v="1"/>
    <x v="0"/>
    <x v="3"/>
    <n v="338.03"/>
    <n v="5"/>
    <n v="1690.1499999999999"/>
    <x v="0"/>
    <x v="4"/>
    <n v="1"/>
    <x v="1"/>
    <s v="EL1"/>
    <s v="COD"/>
    <n v="0.18"/>
    <n v="450000"/>
    <n v="31"/>
    <n v="15"/>
    <n v="50"/>
  </r>
  <r>
    <s v="ORD0073"/>
    <s v="2025-07-21"/>
    <x v="5"/>
    <n v="42"/>
    <x v="0"/>
    <x v="1"/>
    <x v="0"/>
    <n v="4866.62"/>
    <n v="5"/>
    <n v="24333.1"/>
    <x v="4"/>
    <x v="4"/>
    <n v="1"/>
    <x v="1"/>
    <s v="HA1"/>
    <s v="DC"/>
    <n v="0.1"/>
    <n v="560000"/>
    <n v="90"/>
    <n v="13"/>
    <n v="60"/>
  </r>
  <r>
    <s v="ORD0074"/>
    <s v="2025-11-09"/>
    <x v="4"/>
    <n v="47"/>
    <x v="0"/>
    <x v="2"/>
    <x v="0"/>
    <n v="4965.4399999999996"/>
    <n v="5"/>
    <n v="24827.199999999997"/>
    <x v="3"/>
    <x v="5"/>
    <n v="1"/>
    <x v="1"/>
    <s v="HA1"/>
    <s v="UPI"/>
    <n v="0.1"/>
    <n v="560000"/>
    <n v="50"/>
    <n v="13"/>
    <n v="60"/>
  </r>
  <r>
    <s v="ORD0075"/>
    <s v="2025-11-11"/>
    <x v="4"/>
    <n v="34"/>
    <x v="0"/>
    <x v="4"/>
    <x v="2"/>
    <n v="2752.84"/>
    <n v="1"/>
    <n v="2752.84"/>
    <x v="3"/>
    <x v="3"/>
    <n v="1"/>
    <x v="1"/>
    <s v="CO1"/>
    <s v="UPI"/>
    <n v="0.12"/>
    <n v="350000"/>
    <n v="50"/>
    <n v="12"/>
    <n v="100"/>
  </r>
  <r>
    <s v="ORD0076"/>
    <s v="2025-10-25"/>
    <x v="8"/>
    <n v="41"/>
    <x v="0"/>
    <x v="1"/>
    <x v="1"/>
    <n v="1748.64"/>
    <n v="3"/>
    <n v="5245.92"/>
    <x v="2"/>
    <x v="8"/>
    <n v="3"/>
    <x v="1"/>
    <s v="SP1"/>
    <s v="CC"/>
    <n v="0.12"/>
    <n v="240000"/>
    <n v="80"/>
    <n v="14"/>
    <n v="30"/>
  </r>
  <r>
    <s v="ORD0077"/>
    <s v="2025-05-05"/>
    <x v="7"/>
    <n v="32"/>
    <x v="0"/>
    <x v="4"/>
    <x v="3"/>
    <n v="3639.41"/>
    <n v="3"/>
    <n v="10918.23"/>
    <x v="1"/>
    <x v="2"/>
    <n v="4"/>
    <x v="0"/>
    <s v="EL1"/>
    <s v="NB"/>
    <n v="0.18"/>
    <n v="450000"/>
    <n v="50"/>
    <n v="15"/>
    <n v="50"/>
  </r>
  <r>
    <s v="ORD0078"/>
    <s v="2025-03-24"/>
    <x v="3"/>
    <n v="45"/>
    <x v="0"/>
    <x v="1"/>
    <x v="1"/>
    <n v="1241.46"/>
    <n v="5"/>
    <n v="6207.3"/>
    <x v="0"/>
    <x v="8"/>
    <n v="5"/>
    <x v="0"/>
    <s v="SP1"/>
    <s v="COD"/>
    <n v="0.12"/>
    <n v="240000"/>
    <n v="31"/>
    <n v="14"/>
    <n v="30"/>
  </r>
  <r>
    <s v="ORD0079"/>
    <s v="2025-07-08"/>
    <x v="5"/>
    <n v="26"/>
    <x v="0"/>
    <x v="3"/>
    <x v="5"/>
    <n v="3999.22"/>
    <n v="5"/>
    <n v="19996.099999999999"/>
    <x v="0"/>
    <x v="6"/>
    <n v="3"/>
    <x v="1"/>
    <s v="BE1"/>
    <s v="COD"/>
    <n v="0.14000000000000001"/>
    <n v="300000"/>
    <n v="31"/>
    <n v="12"/>
    <n v="70"/>
  </r>
  <r>
    <s v="ORD0080"/>
    <s v="2025-09-18"/>
    <x v="10"/>
    <n v="41"/>
    <x v="0"/>
    <x v="3"/>
    <x v="3"/>
    <n v="4477.59"/>
    <n v="3"/>
    <n v="13432.77"/>
    <x v="0"/>
    <x v="4"/>
    <n v="1"/>
    <x v="1"/>
    <s v="EL1"/>
    <s v="COD"/>
    <n v="0.18"/>
    <n v="450000"/>
    <n v="31"/>
    <n v="15"/>
    <n v="50"/>
  </r>
  <r>
    <s v="ORD0081"/>
    <s v="2025-04-22"/>
    <x v="0"/>
    <n v="23"/>
    <x v="0"/>
    <x v="0"/>
    <x v="5"/>
    <n v="1310.77"/>
    <n v="4"/>
    <n v="5243.08"/>
    <x v="3"/>
    <x v="8"/>
    <n v="1"/>
    <x v="1"/>
    <s v="BE1"/>
    <s v="UPI"/>
    <n v="0.14000000000000001"/>
    <n v="300000"/>
    <n v="50"/>
    <n v="12"/>
    <n v="70"/>
  </r>
  <r>
    <s v="ORD0082"/>
    <s v="2025-05-13"/>
    <x v="7"/>
    <n v="54"/>
    <x v="1"/>
    <x v="0"/>
    <x v="5"/>
    <n v="4593.43"/>
    <n v="3"/>
    <n v="13780.29"/>
    <x v="3"/>
    <x v="3"/>
    <n v="1"/>
    <x v="1"/>
    <s v="BE1"/>
    <s v="UPI"/>
    <n v="0.14000000000000001"/>
    <n v="300000"/>
    <n v="50"/>
    <n v="12"/>
    <n v="70"/>
  </r>
  <r>
    <s v="ORD0083"/>
    <s v="2025-06-13"/>
    <x v="6"/>
    <n v="43"/>
    <x v="0"/>
    <x v="1"/>
    <x v="3"/>
    <n v="939.16"/>
    <n v="2"/>
    <n v="1878.32"/>
    <x v="3"/>
    <x v="3"/>
    <n v="5"/>
    <x v="1"/>
    <s v="EL1"/>
    <s v="UPI"/>
    <n v="0.18"/>
    <n v="450000"/>
    <n v="50"/>
    <n v="15"/>
    <n v="50"/>
  </r>
  <r>
    <s v="ORD0084"/>
    <s v="2025-10-31"/>
    <x v="8"/>
    <n v="39"/>
    <x v="0"/>
    <x v="4"/>
    <x v="5"/>
    <n v="1245.73"/>
    <n v="3"/>
    <n v="3737.19"/>
    <x v="1"/>
    <x v="4"/>
    <n v="2"/>
    <x v="1"/>
    <s v="BE1"/>
    <s v="NB"/>
    <n v="0.14000000000000001"/>
    <n v="300000"/>
    <n v="50"/>
    <n v="12"/>
    <n v="70"/>
  </r>
  <r>
    <s v="ORD0085"/>
    <s v="2025-03-28"/>
    <x v="3"/>
    <n v="19"/>
    <x v="2"/>
    <x v="4"/>
    <x v="1"/>
    <n v="1089.02"/>
    <n v="4"/>
    <n v="4356.08"/>
    <x v="0"/>
    <x v="1"/>
    <n v="4"/>
    <x v="0"/>
    <s v="SP1"/>
    <s v="COD"/>
    <n v="0.12"/>
    <n v="240000"/>
    <n v="31"/>
    <n v="14"/>
    <n v="30"/>
  </r>
  <r>
    <s v="ORD0086"/>
    <s v="2025-11-24"/>
    <x v="4"/>
    <n v="21"/>
    <x v="0"/>
    <x v="5"/>
    <x v="3"/>
    <n v="761.99"/>
    <n v="3"/>
    <n v="2285.9700000000003"/>
    <x v="1"/>
    <x v="3"/>
    <n v="1"/>
    <x v="1"/>
    <s v="EL1"/>
    <s v="NB"/>
    <n v="0.18"/>
    <n v="450000"/>
    <n v="50"/>
    <n v="15"/>
    <n v="50"/>
  </r>
  <r>
    <s v="ORD0087"/>
    <s v="2025-07-10"/>
    <x v="5"/>
    <n v="32"/>
    <x v="0"/>
    <x v="5"/>
    <x v="5"/>
    <n v="930.66"/>
    <n v="5"/>
    <n v="4653.3"/>
    <x v="4"/>
    <x v="9"/>
    <n v="5"/>
    <x v="0"/>
    <s v="BE1"/>
    <s v="DC"/>
    <n v="0.14000000000000001"/>
    <n v="300000"/>
    <n v="90"/>
    <n v="12"/>
    <n v="70"/>
  </r>
  <r>
    <s v="ORD0088"/>
    <s v="2025-07-17"/>
    <x v="5"/>
    <n v="35"/>
    <x v="0"/>
    <x v="5"/>
    <x v="0"/>
    <n v="697.77"/>
    <n v="2"/>
    <n v="1395.54"/>
    <x v="1"/>
    <x v="0"/>
    <n v="4"/>
    <x v="1"/>
    <s v="HA1"/>
    <s v="NB"/>
    <n v="0.1"/>
    <n v="560000"/>
    <n v="50"/>
    <n v="13"/>
    <n v="60"/>
  </r>
  <r>
    <s v="ORD0089"/>
    <s v="2025-11-10"/>
    <x v="4"/>
    <n v="56"/>
    <x v="1"/>
    <x v="0"/>
    <x v="3"/>
    <n v="563.03"/>
    <n v="1"/>
    <n v="563.03"/>
    <x v="3"/>
    <x v="5"/>
    <n v="5"/>
    <x v="1"/>
    <s v="EL1"/>
    <s v="UPI"/>
    <n v="0.18"/>
    <n v="450000"/>
    <n v="50"/>
    <n v="15"/>
    <n v="50"/>
  </r>
  <r>
    <s v="ORD0090"/>
    <s v="2025-06-10"/>
    <x v="6"/>
    <n v="42"/>
    <x v="0"/>
    <x v="3"/>
    <x v="5"/>
    <n v="4394.08"/>
    <n v="2"/>
    <n v="8788.16"/>
    <x v="1"/>
    <x v="4"/>
    <n v="1"/>
    <x v="1"/>
    <s v="BE1"/>
    <s v="NB"/>
    <n v="0.14000000000000001"/>
    <n v="300000"/>
    <n v="50"/>
    <n v="12"/>
    <n v="70"/>
  </r>
  <r>
    <s v="ORD0091"/>
    <s v="2025-12-27"/>
    <x v="11"/>
    <n v="26"/>
    <x v="0"/>
    <x v="0"/>
    <x v="4"/>
    <n v="2288.6799999999998"/>
    <n v="5"/>
    <n v="11443.4"/>
    <x v="0"/>
    <x v="0"/>
    <n v="1"/>
    <x v="1"/>
    <s v="B01"/>
    <s v="COD"/>
    <n v="0.05"/>
    <n v="400000"/>
    <n v="31"/>
    <n v="7"/>
    <n v="40"/>
  </r>
  <r>
    <s v="ORD0092"/>
    <s v="2025-01-19"/>
    <x v="1"/>
    <n v="54"/>
    <x v="1"/>
    <x v="2"/>
    <x v="5"/>
    <n v="467.31"/>
    <n v="3"/>
    <n v="1401.93"/>
    <x v="4"/>
    <x v="0"/>
    <n v="1"/>
    <x v="1"/>
    <s v="BE1"/>
    <s v="DC"/>
    <n v="0.14000000000000001"/>
    <n v="300000"/>
    <n v="90"/>
    <n v="12"/>
    <n v="70"/>
  </r>
  <r>
    <s v="ORD0093"/>
    <s v="2025-10-16"/>
    <x v="8"/>
    <n v="48"/>
    <x v="0"/>
    <x v="0"/>
    <x v="3"/>
    <n v="1128.29"/>
    <n v="5"/>
    <n v="5641.45"/>
    <x v="0"/>
    <x v="1"/>
    <n v="5"/>
    <x v="0"/>
    <s v="EL1"/>
    <s v="COD"/>
    <n v="0.18"/>
    <n v="450000"/>
    <n v="31"/>
    <n v="15"/>
    <n v="50"/>
  </r>
  <r>
    <s v="ORD0094"/>
    <s v="2025-10-26"/>
    <x v="8"/>
    <n v="46"/>
    <x v="0"/>
    <x v="3"/>
    <x v="2"/>
    <n v="2779.02"/>
    <n v="5"/>
    <n v="13895.1"/>
    <x v="0"/>
    <x v="6"/>
    <n v="2"/>
    <x v="1"/>
    <s v="CO1"/>
    <s v="COD"/>
    <n v="0.12"/>
    <n v="350000"/>
    <n v="31"/>
    <n v="12"/>
    <n v="100"/>
  </r>
  <r>
    <s v="ORD0095"/>
    <s v="2025-07-21"/>
    <x v="5"/>
    <n v="58"/>
    <x v="1"/>
    <x v="5"/>
    <x v="3"/>
    <n v="223.55"/>
    <n v="3"/>
    <n v="670.65000000000009"/>
    <x v="3"/>
    <x v="1"/>
    <n v="4"/>
    <x v="0"/>
    <s v="EL1"/>
    <s v="UPI"/>
    <n v="0.18"/>
    <n v="450000"/>
    <n v="50"/>
    <n v="15"/>
    <n v="50"/>
  </r>
  <r>
    <s v="ORD0096"/>
    <s v="2025-03-04"/>
    <x v="3"/>
    <n v="56"/>
    <x v="1"/>
    <x v="3"/>
    <x v="4"/>
    <n v="3205.44"/>
    <n v="2"/>
    <n v="6410.88"/>
    <x v="0"/>
    <x v="6"/>
    <n v="4"/>
    <x v="1"/>
    <s v="B01"/>
    <s v="COD"/>
    <n v="0.05"/>
    <n v="400000"/>
    <n v="31"/>
    <n v="7"/>
    <n v="40"/>
  </r>
  <r>
    <s v="ORD0097"/>
    <s v="2025-07-03"/>
    <x v="5"/>
    <n v="22"/>
    <x v="0"/>
    <x v="0"/>
    <x v="5"/>
    <n v="2519.0500000000002"/>
    <n v="3"/>
    <n v="7557.1500000000005"/>
    <x v="3"/>
    <x v="8"/>
    <n v="3"/>
    <x v="1"/>
    <s v="BE1"/>
    <s v="UPI"/>
    <n v="0.14000000000000001"/>
    <n v="300000"/>
    <n v="50"/>
    <n v="12"/>
    <n v="70"/>
  </r>
  <r>
    <s v="ORD0098"/>
    <s v="2025-01-04"/>
    <x v="1"/>
    <n v="39"/>
    <x v="0"/>
    <x v="5"/>
    <x v="1"/>
    <n v="3993.68"/>
    <n v="5"/>
    <n v="19968.399999999998"/>
    <x v="3"/>
    <x v="9"/>
    <n v="5"/>
    <x v="0"/>
    <s v="SP1"/>
    <s v="UPI"/>
    <n v="0.12"/>
    <n v="240000"/>
    <n v="50"/>
    <n v="14"/>
    <n v="30"/>
  </r>
  <r>
    <s v="ORD0099"/>
    <s v="2025-03-04"/>
    <x v="3"/>
    <n v="42"/>
    <x v="0"/>
    <x v="3"/>
    <x v="5"/>
    <n v="1953.4"/>
    <n v="2"/>
    <n v="3906.8"/>
    <x v="4"/>
    <x v="5"/>
    <n v="1"/>
    <x v="1"/>
    <s v="BE1"/>
    <s v="DC"/>
    <n v="0.14000000000000001"/>
    <n v="300000"/>
    <n v="90"/>
    <n v="12"/>
    <n v="70"/>
  </r>
  <r>
    <s v="ORD0100"/>
    <s v="2025-10-28"/>
    <x v="8"/>
    <n v="59"/>
    <x v="1"/>
    <x v="3"/>
    <x v="0"/>
    <n v="1076.5"/>
    <n v="5"/>
    <n v="5382.5"/>
    <x v="4"/>
    <x v="2"/>
    <n v="4"/>
    <x v="0"/>
    <s v="HA1"/>
    <s v="DC"/>
    <n v="0.1"/>
    <n v="560000"/>
    <n v="90"/>
    <n v="13"/>
    <n v="60"/>
  </r>
  <r>
    <s v="ORD0101"/>
    <s v="2025-06-16"/>
    <x v="6"/>
    <n v="22"/>
    <x v="0"/>
    <x v="2"/>
    <x v="4"/>
    <n v="660.06"/>
    <n v="4"/>
    <n v="2640.24"/>
    <x v="2"/>
    <x v="1"/>
    <n v="3"/>
    <x v="1"/>
    <s v="B01"/>
    <s v="CC"/>
    <n v="0.05"/>
    <n v="400000"/>
    <n v="80"/>
    <n v="7"/>
    <n v="40"/>
  </r>
  <r>
    <s v="ORD0102"/>
    <s v="2025-01-17"/>
    <x v="1"/>
    <n v="38"/>
    <x v="0"/>
    <x v="2"/>
    <x v="0"/>
    <n v="1003.94"/>
    <n v="4"/>
    <n v="4015.76"/>
    <x v="1"/>
    <x v="1"/>
    <n v="1"/>
    <x v="1"/>
    <s v="HA1"/>
    <s v="NB"/>
    <n v="0.1"/>
    <n v="560000"/>
    <n v="50"/>
    <n v="13"/>
    <n v="60"/>
  </r>
  <r>
    <s v="ORD0103"/>
    <s v="2025-01-29"/>
    <x v="1"/>
    <n v="26"/>
    <x v="0"/>
    <x v="2"/>
    <x v="1"/>
    <n v="1644.91"/>
    <n v="4"/>
    <n v="6579.64"/>
    <x v="2"/>
    <x v="7"/>
    <n v="5"/>
    <x v="0"/>
    <s v="SP1"/>
    <s v="CC"/>
    <n v="0.12"/>
    <n v="240000"/>
    <n v="80"/>
    <n v="14"/>
    <n v="30"/>
  </r>
  <r>
    <s v="ORD0104"/>
    <s v="2025-07-10"/>
    <x v="5"/>
    <n v="24"/>
    <x v="0"/>
    <x v="2"/>
    <x v="3"/>
    <n v="1681.01"/>
    <n v="2"/>
    <n v="3362.02"/>
    <x v="1"/>
    <x v="9"/>
    <n v="1"/>
    <x v="1"/>
    <s v="EL1"/>
    <s v="NB"/>
    <n v="0.18"/>
    <n v="450000"/>
    <n v="50"/>
    <n v="15"/>
    <n v="50"/>
  </r>
  <r>
    <s v="ORD0105"/>
    <s v="2025-05-06"/>
    <x v="7"/>
    <n v="27"/>
    <x v="0"/>
    <x v="0"/>
    <x v="4"/>
    <n v="4363.79"/>
    <n v="3"/>
    <n v="13091.369999999999"/>
    <x v="4"/>
    <x v="8"/>
    <n v="4"/>
    <x v="0"/>
    <s v="B01"/>
    <s v="DC"/>
    <n v="0.05"/>
    <n v="400000"/>
    <n v="90"/>
    <n v="7"/>
    <n v="40"/>
  </r>
  <r>
    <s v="ORD0106"/>
    <s v="2025-09-04"/>
    <x v="10"/>
    <n v="39"/>
    <x v="0"/>
    <x v="0"/>
    <x v="0"/>
    <n v="4280.6400000000003"/>
    <n v="2"/>
    <n v="8561.2800000000007"/>
    <x v="0"/>
    <x v="3"/>
    <n v="4"/>
    <x v="1"/>
    <s v="HA1"/>
    <s v="COD"/>
    <n v="0.1"/>
    <n v="560000"/>
    <n v="31"/>
    <n v="13"/>
    <n v="60"/>
  </r>
  <r>
    <s v="ORD0107"/>
    <s v="2025-02-15"/>
    <x v="9"/>
    <n v="39"/>
    <x v="0"/>
    <x v="5"/>
    <x v="5"/>
    <n v="4309.3500000000004"/>
    <n v="3"/>
    <n v="12928.050000000001"/>
    <x v="2"/>
    <x v="3"/>
    <n v="5"/>
    <x v="0"/>
    <s v="BE1"/>
    <s v="CC"/>
    <n v="0.14000000000000001"/>
    <n v="300000"/>
    <n v="80"/>
    <n v="12"/>
    <n v="70"/>
  </r>
  <r>
    <s v="ORD0108"/>
    <s v="2025-12-16"/>
    <x v="11"/>
    <n v="41"/>
    <x v="0"/>
    <x v="2"/>
    <x v="1"/>
    <n v="3254.64"/>
    <n v="2"/>
    <n v="6509.28"/>
    <x v="0"/>
    <x v="3"/>
    <n v="1"/>
    <x v="1"/>
    <s v="SP1"/>
    <s v="COD"/>
    <n v="0.12"/>
    <n v="240000"/>
    <n v="31"/>
    <n v="14"/>
    <n v="30"/>
  </r>
  <r>
    <s v="ORD0109"/>
    <s v="2025-10-25"/>
    <x v="8"/>
    <n v="32"/>
    <x v="0"/>
    <x v="3"/>
    <x v="2"/>
    <n v="4801.18"/>
    <n v="5"/>
    <n v="24005.9"/>
    <x v="0"/>
    <x v="5"/>
    <n v="3"/>
    <x v="1"/>
    <s v="CO1"/>
    <s v="COD"/>
    <n v="0.12"/>
    <n v="350000"/>
    <n v="31"/>
    <n v="12"/>
    <n v="100"/>
  </r>
  <r>
    <s v="ORD0110"/>
    <s v="2025-07-09"/>
    <x v="5"/>
    <n v="57"/>
    <x v="1"/>
    <x v="0"/>
    <x v="0"/>
    <n v="3086.28"/>
    <n v="4"/>
    <n v="12345.12"/>
    <x v="3"/>
    <x v="1"/>
    <n v="1"/>
    <x v="1"/>
    <s v="HA1"/>
    <s v="UPI"/>
    <n v="0.1"/>
    <n v="560000"/>
    <n v="50"/>
    <n v="13"/>
    <n v="60"/>
  </r>
  <r>
    <s v="ORD0111"/>
    <s v="2025-01-24"/>
    <x v="1"/>
    <n v="19"/>
    <x v="2"/>
    <x v="0"/>
    <x v="0"/>
    <n v="2438.4699999999998"/>
    <n v="5"/>
    <n v="12192.349999999999"/>
    <x v="2"/>
    <x v="9"/>
    <n v="1"/>
    <x v="1"/>
    <s v="HA1"/>
    <s v="CC"/>
    <n v="0.1"/>
    <n v="560000"/>
    <n v="80"/>
    <n v="13"/>
    <n v="60"/>
  </r>
  <r>
    <s v="ORD0112"/>
    <s v="2025-09-20"/>
    <x v="10"/>
    <n v="38"/>
    <x v="0"/>
    <x v="5"/>
    <x v="5"/>
    <n v="4165.24"/>
    <n v="2"/>
    <n v="8330.48"/>
    <x v="4"/>
    <x v="0"/>
    <n v="1"/>
    <x v="1"/>
    <s v="BE1"/>
    <s v="DC"/>
    <n v="0.14000000000000001"/>
    <n v="300000"/>
    <n v="90"/>
    <n v="12"/>
    <n v="70"/>
  </r>
  <r>
    <s v="ORD0113"/>
    <s v="2025-08-05"/>
    <x v="2"/>
    <n v="40"/>
    <x v="0"/>
    <x v="0"/>
    <x v="2"/>
    <n v="3067.88"/>
    <n v="5"/>
    <n v="15339.400000000001"/>
    <x v="3"/>
    <x v="2"/>
    <n v="2"/>
    <x v="1"/>
    <s v="CO1"/>
    <s v="UPI"/>
    <n v="0.12"/>
    <n v="350000"/>
    <n v="50"/>
    <n v="12"/>
    <n v="100"/>
  </r>
  <r>
    <s v="ORD0114"/>
    <s v="2025-11-22"/>
    <x v="4"/>
    <n v="38"/>
    <x v="0"/>
    <x v="3"/>
    <x v="1"/>
    <n v="3293.68"/>
    <n v="2"/>
    <n v="6587.36"/>
    <x v="1"/>
    <x v="8"/>
    <n v="3"/>
    <x v="1"/>
    <s v="SP1"/>
    <s v="NB"/>
    <n v="0.12"/>
    <n v="240000"/>
    <n v="50"/>
    <n v="14"/>
    <n v="30"/>
  </r>
  <r>
    <s v="ORD0115"/>
    <s v="2025-10-12"/>
    <x v="8"/>
    <n v="35"/>
    <x v="0"/>
    <x v="4"/>
    <x v="2"/>
    <n v="4325.24"/>
    <n v="1"/>
    <n v="4325.24"/>
    <x v="4"/>
    <x v="2"/>
    <n v="1"/>
    <x v="1"/>
    <s v="CO1"/>
    <s v="DC"/>
    <n v="0.12"/>
    <n v="350000"/>
    <n v="90"/>
    <n v="12"/>
    <n v="100"/>
  </r>
  <r>
    <s v="ORD0116"/>
    <s v="2025-12-20"/>
    <x v="11"/>
    <n v="37"/>
    <x v="0"/>
    <x v="0"/>
    <x v="1"/>
    <n v="3155.77"/>
    <n v="3"/>
    <n v="9467.31"/>
    <x v="4"/>
    <x v="3"/>
    <n v="3"/>
    <x v="1"/>
    <s v="SP1"/>
    <s v="DC"/>
    <n v="0.12"/>
    <n v="240000"/>
    <n v="90"/>
    <n v="14"/>
    <n v="30"/>
  </r>
  <r>
    <s v="ORD0117"/>
    <s v="2025-03-22"/>
    <x v="3"/>
    <n v="25"/>
    <x v="0"/>
    <x v="1"/>
    <x v="1"/>
    <n v="2858.86"/>
    <n v="2"/>
    <n v="5717.72"/>
    <x v="1"/>
    <x v="4"/>
    <n v="5"/>
    <x v="1"/>
    <s v="SP1"/>
    <s v="NB"/>
    <n v="0.12"/>
    <n v="240000"/>
    <n v="50"/>
    <n v="14"/>
    <n v="30"/>
  </r>
  <r>
    <s v="ORD0118"/>
    <s v="2025-10-03"/>
    <x v="8"/>
    <n v="35"/>
    <x v="0"/>
    <x v="4"/>
    <x v="1"/>
    <n v="354.9"/>
    <n v="3"/>
    <n v="1064.6999999999998"/>
    <x v="1"/>
    <x v="4"/>
    <n v="3"/>
    <x v="1"/>
    <s v="SP1"/>
    <s v="NB"/>
    <n v="0.12"/>
    <n v="240000"/>
    <n v="50"/>
    <n v="14"/>
    <n v="30"/>
  </r>
  <r>
    <s v="ORD0119"/>
    <s v="2025-11-28"/>
    <x v="4"/>
    <n v="47"/>
    <x v="0"/>
    <x v="3"/>
    <x v="4"/>
    <n v="2633.62"/>
    <n v="3"/>
    <n v="7900.86"/>
    <x v="0"/>
    <x v="3"/>
    <n v="2"/>
    <x v="1"/>
    <s v="B01"/>
    <s v="COD"/>
    <n v="0.05"/>
    <n v="400000"/>
    <n v="31"/>
    <n v="7"/>
    <n v="40"/>
  </r>
  <r>
    <s v="ORD0120"/>
    <s v="2025-09-30"/>
    <x v="10"/>
    <n v="34"/>
    <x v="0"/>
    <x v="2"/>
    <x v="4"/>
    <n v="4157.1499999999996"/>
    <n v="1"/>
    <n v="4157.1499999999996"/>
    <x v="3"/>
    <x v="6"/>
    <n v="3"/>
    <x v="1"/>
    <s v="B01"/>
    <s v="UPI"/>
    <n v="0.05"/>
    <n v="400000"/>
    <n v="50"/>
    <n v="7"/>
    <n v="40"/>
  </r>
  <r>
    <s v="ORD0121"/>
    <s v="2025-08-06"/>
    <x v="2"/>
    <n v="47"/>
    <x v="0"/>
    <x v="0"/>
    <x v="5"/>
    <n v="3859.42"/>
    <n v="5"/>
    <n v="19297.099999999999"/>
    <x v="0"/>
    <x v="0"/>
    <n v="4"/>
    <x v="0"/>
    <s v="BE1"/>
    <s v="COD"/>
    <n v="0.14000000000000001"/>
    <n v="300000"/>
    <n v="31"/>
    <n v="12"/>
    <n v="70"/>
  </r>
  <r>
    <s v="ORD0122"/>
    <s v="2025-04-03"/>
    <x v="0"/>
    <n v="46"/>
    <x v="0"/>
    <x v="4"/>
    <x v="4"/>
    <n v="1411.82"/>
    <n v="1"/>
    <n v="1411.82"/>
    <x v="1"/>
    <x v="3"/>
    <n v="5"/>
    <x v="1"/>
    <s v="B01"/>
    <s v="NB"/>
    <n v="0.05"/>
    <n v="400000"/>
    <n v="50"/>
    <n v="7"/>
    <n v="40"/>
  </r>
  <r>
    <s v="ORD0123"/>
    <s v="2025-05-02"/>
    <x v="7"/>
    <n v="51"/>
    <x v="1"/>
    <x v="5"/>
    <x v="5"/>
    <n v="944.32"/>
    <n v="5"/>
    <n v="4721.6000000000004"/>
    <x v="0"/>
    <x v="4"/>
    <n v="5"/>
    <x v="0"/>
    <s v="BE1"/>
    <s v="COD"/>
    <n v="0.14000000000000001"/>
    <n v="300000"/>
    <n v="31"/>
    <n v="12"/>
    <n v="70"/>
  </r>
  <r>
    <s v="ORD0124"/>
    <s v="2025-11-18"/>
    <x v="4"/>
    <n v="45"/>
    <x v="0"/>
    <x v="5"/>
    <x v="5"/>
    <n v="4282.6899999999996"/>
    <n v="5"/>
    <n v="21413.449999999997"/>
    <x v="2"/>
    <x v="6"/>
    <n v="2"/>
    <x v="1"/>
    <s v="BE1"/>
    <s v="CC"/>
    <n v="0.14000000000000001"/>
    <n v="300000"/>
    <n v="80"/>
    <n v="12"/>
    <n v="70"/>
  </r>
  <r>
    <s v="ORD0125"/>
    <s v="2025-06-20"/>
    <x v="6"/>
    <n v="37"/>
    <x v="0"/>
    <x v="0"/>
    <x v="3"/>
    <n v="1531.17"/>
    <n v="1"/>
    <n v="1531.17"/>
    <x v="1"/>
    <x v="5"/>
    <n v="3"/>
    <x v="1"/>
    <s v="EL1"/>
    <s v="NB"/>
    <n v="0.18"/>
    <n v="450000"/>
    <n v="50"/>
    <n v="15"/>
    <n v="50"/>
  </r>
  <r>
    <s v="ORD0126"/>
    <s v="2025-09-20"/>
    <x v="10"/>
    <n v="19"/>
    <x v="2"/>
    <x v="1"/>
    <x v="2"/>
    <n v="4227.53"/>
    <n v="1"/>
    <n v="4227.53"/>
    <x v="1"/>
    <x v="9"/>
    <n v="2"/>
    <x v="1"/>
    <s v="CO1"/>
    <s v="NB"/>
    <n v="0.12"/>
    <n v="350000"/>
    <n v="50"/>
    <n v="12"/>
    <n v="100"/>
  </r>
  <r>
    <s v="ORD0127"/>
    <s v="2025-08-06"/>
    <x v="2"/>
    <n v="23"/>
    <x v="0"/>
    <x v="5"/>
    <x v="1"/>
    <n v="3514.1"/>
    <n v="5"/>
    <n v="17570.5"/>
    <x v="1"/>
    <x v="5"/>
    <n v="1"/>
    <x v="1"/>
    <s v="SP1"/>
    <s v="NB"/>
    <n v="0.12"/>
    <n v="240000"/>
    <n v="50"/>
    <n v="14"/>
    <n v="30"/>
  </r>
  <r>
    <s v="ORD0128"/>
    <s v="2025-12-17"/>
    <x v="11"/>
    <n v="42"/>
    <x v="0"/>
    <x v="3"/>
    <x v="2"/>
    <n v="2472.37"/>
    <n v="1"/>
    <n v="2472.37"/>
    <x v="4"/>
    <x v="2"/>
    <n v="1"/>
    <x v="1"/>
    <s v="CO1"/>
    <s v="DC"/>
    <n v="0.12"/>
    <n v="350000"/>
    <n v="90"/>
    <n v="12"/>
    <n v="100"/>
  </r>
  <r>
    <s v="ORD0129"/>
    <s v="2025-09-02"/>
    <x v="10"/>
    <n v="48"/>
    <x v="0"/>
    <x v="4"/>
    <x v="3"/>
    <n v="1640.68"/>
    <n v="3"/>
    <n v="4922.04"/>
    <x v="3"/>
    <x v="2"/>
    <n v="5"/>
    <x v="0"/>
    <s v="EL1"/>
    <s v="UPI"/>
    <n v="0.18"/>
    <n v="450000"/>
    <n v="50"/>
    <n v="15"/>
    <n v="50"/>
  </r>
  <r>
    <s v="ORD0130"/>
    <s v="2025-08-04"/>
    <x v="2"/>
    <n v="34"/>
    <x v="0"/>
    <x v="3"/>
    <x v="2"/>
    <n v="726.34"/>
    <n v="5"/>
    <n v="3631.7000000000003"/>
    <x v="0"/>
    <x v="5"/>
    <n v="1"/>
    <x v="1"/>
    <s v="CO1"/>
    <s v="COD"/>
    <n v="0.12"/>
    <n v="350000"/>
    <n v="31"/>
    <n v="12"/>
    <n v="100"/>
  </r>
  <r>
    <s v="ORD0131"/>
    <s v="2025-07-01"/>
    <x v="5"/>
    <n v="41"/>
    <x v="0"/>
    <x v="5"/>
    <x v="4"/>
    <n v="4440.17"/>
    <n v="3"/>
    <n v="13320.51"/>
    <x v="4"/>
    <x v="1"/>
    <n v="2"/>
    <x v="1"/>
    <s v="B01"/>
    <s v="DC"/>
    <n v="0.05"/>
    <n v="400000"/>
    <n v="90"/>
    <n v="7"/>
    <n v="40"/>
  </r>
  <r>
    <s v="ORD0132"/>
    <s v="2025-12-01"/>
    <x v="11"/>
    <n v="57"/>
    <x v="1"/>
    <x v="3"/>
    <x v="2"/>
    <n v="393.56"/>
    <n v="3"/>
    <n v="1180.68"/>
    <x v="3"/>
    <x v="4"/>
    <n v="1"/>
    <x v="1"/>
    <s v="CO1"/>
    <s v="UPI"/>
    <n v="0.12"/>
    <n v="350000"/>
    <n v="50"/>
    <n v="12"/>
    <n v="100"/>
  </r>
  <r>
    <s v="ORD0133"/>
    <s v="2025-06-03"/>
    <x v="6"/>
    <n v="51"/>
    <x v="1"/>
    <x v="5"/>
    <x v="2"/>
    <n v="2103.09"/>
    <n v="1"/>
    <n v="2103.09"/>
    <x v="3"/>
    <x v="2"/>
    <n v="3"/>
    <x v="1"/>
    <s v="CO1"/>
    <s v="UPI"/>
    <n v="0.12"/>
    <n v="350000"/>
    <n v="50"/>
    <n v="12"/>
    <n v="100"/>
  </r>
  <r>
    <s v="ORD0134"/>
    <s v="2025-12-20"/>
    <x v="11"/>
    <n v="41"/>
    <x v="0"/>
    <x v="4"/>
    <x v="3"/>
    <n v="4054.97"/>
    <n v="4"/>
    <n v="16219.88"/>
    <x v="3"/>
    <x v="5"/>
    <n v="3"/>
    <x v="1"/>
    <s v="EL1"/>
    <s v="UPI"/>
    <n v="0.18"/>
    <n v="450000"/>
    <n v="50"/>
    <n v="15"/>
    <n v="50"/>
  </r>
  <r>
    <s v="ORD0135"/>
    <s v="2025-08-01"/>
    <x v="2"/>
    <n v="43"/>
    <x v="0"/>
    <x v="5"/>
    <x v="1"/>
    <n v="1096.76"/>
    <n v="1"/>
    <n v="1096.76"/>
    <x v="2"/>
    <x v="2"/>
    <n v="4"/>
    <x v="1"/>
    <s v="SP1"/>
    <s v="CC"/>
    <n v="0.12"/>
    <n v="240000"/>
    <n v="80"/>
    <n v="14"/>
    <n v="30"/>
  </r>
  <r>
    <s v="ORD0136"/>
    <s v="2025-08-27"/>
    <x v="2"/>
    <n v="38"/>
    <x v="0"/>
    <x v="0"/>
    <x v="4"/>
    <n v="3831.59"/>
    <n v="3"/>
    <n v="11494.77"/>
    <x v="2"/>
    <x v="4"/>
    <n v="3"/>
    <x v="1"/>
    <s v="B01"/>
    <s v="CC"/>
    <n v="0.05"/>
    <n v="400000"/>
    <n v="80"/>
    <n v="7"/>
    <n v="40"/>
  </r>
  <r>
    <s v="ORD0137"/>
    <s v="2025-04-26"/>
    <x v="0"/>
    <n v="53"/>
    <x v="1"/>
    <x v="5"/>
    <x v="2"/>
    <n v="313.68"/>
    <n v="4"/>
    <n v="1254.72"/>
    <x v="0"/>
    <x v="5"/>
    <n v="4"/>
    <x v="0"/>
    <s v="CO1"/>
    <s v="COD"/>
    <n v="0.12"/>
    <n v="350000"/>
    <n v="31"/>
    <n v="12"/>
    <n v="100"/>
  </r>
  <r>
    <s v="ORD0138"/>
    <s v="2025-12-26"/>
    <x v="11"/>
    <n v="51"/>
    <x v="1"/>
    <x v="3"/>
    <x v="4"/>
    <n v="233.12"/>
    <n v="2"/>
    <n v="466.24"/>
    <x v="2"/>
    <x v="4"/>
    <n v="5"/>
    <x v="1"/>
    <s v="B01"/>
    <s v="CC"/>
    <n v="0.05"/>
    <n v="400000"/>
    <n v="80"/>
    <n v="7"/>
    <n v="40"/>
  </r>
  <r>
    <s v="ORD0139"/>
    <s v="2025-10-12"/>
    <x v="8"/>
    <n v="28"/>
    <x v="0"/>
    <x v="0"/>
    <x v="3"/>
    <n v="2778.63"/>
    <n v="1"/>
    <n v="2778.63"/>
    <x v="3"/>
    <x v="2"/>
    <n v="1"/>
    <x v="1"/>
    <s v="EL1"/>
    <s v="UPI"/>
    <n v="0.18"/>
    <n v="450000"/>
    <n v="50"/>
    <n v="15"/>
    <n v="50"/>
  </r>
  <r>
    <s v="ORD0140"/>
    <s v="2025-03-24"/>
    <x v="3"/>
    <n v="23"/>
    <x v="0"/>
    <x v="0"/>
    <x v="2"/>
    <n v="2212.0700000000002"/>
    <n v="4"/>
    <n v="8848.2800000000007"/>
    <x v="3"/>
    <x v="8"/>
    <n v="1"/>
    <x v="1"/>
    <s v="CO1"/>
    <s v="UPI"/>
    <n v="0.12"/>
    <n v="350000"/>
    <n v="50"/>
    <n v="12"/>
    <n v="100"/>
  </r>
  <r>
    <s v="ORD0141"/>
    <s v="2025-03-15"/>
    <x v="3"/>
    <n v="56"/>
    <x v="1"/>
    <x v="3"/>
    <x v="2"/>
    <n v="1371.94"/>
    <n v="3"/>
    <n v="4115.82"/>
    <x v="0"/>
    <x v="3"/>
    <n v="4"/>
    <x v="0"/>
    <s v="CO1"/>
    <s v="COD"/>
    <n v="0.12"/>
    <n v="350000"/>
    <n v="31"/>
    <n v="12"/>
    <n v="100"/>
  </r>
  <r>
    <s v="ORD0142"/>
    <s v="2025-03-12"/>
    <x v="3"/>
    <n v="50"/>
    <x v="0"/>
    <x v="2"/>
    <x v="5"/>
    <n v="4430.22"/>
    <n v="5"/>
    <n v="22151.100000000002"/>
    <x v="2"/>
    <x v="0"/>
    <n v="1"/>
    <x v="1"/>
    <s v="BE1"/>
    <s v="CC"/>
    <n v="0.14000000000000001"/>
    <n v="300000"/>
    <n v="80"/>
    <n v="12"/>
    <n v="70"/>
  </r>
  <r>
    <s v="ORD0143"/>
    <s v="2025-06-18"/>
    <x v="6"/>
    <n v="59"/>
    <x v="1"/>
    <x v="2"/>
    <x v="2"/>
    <n v="3746.98"/>
    <n v="4"/>
    <n v="14987.92"/>
    <x v="0"/>
    <x v="9"/>
    <n v="5"/>
    <x v="0"/>
    <s v="CO1"/>
    <s v="COD"/>
    <n v="0.12"/>
    <n v="350000"/>
    <n v="31"/>
    <n v="12"/>
    <n v="100"/>
  </r>
  <r>
    <s v="ORD0144"/>
    <s v="2025-04-23"/>
    <x v="0"/>
    <n v="49"/>
    <x v="0"/>
    <x v="5"/>
    <x v="5"/>
    <n v="4204.0600000000004"/>
    <n v="5"/>
    <n v="21020.300000000003"/>
    <x v="2"/>
    <x v="7"/>
    <n v="5"/>
    <x v="0"/>
    <s v="BE1"/>
    <s v="CC"/>
    <n v="0.14000000000000001"/>
    <n v="300000"/>
    <n v="80"/>
    <n v="12"/>
    <n v="70"/>
  </r>
  <r>
    <s v="ORD0145"/>
    <s v="2025-09-08"/>
    <x v="10"/>
    <n v="32"/>
    <x v="0"/>
    <x v="5"/>
    <x v="1"/>
    <n v="466.48"/>
    <n v="5"/>
    <n v="2332.4"/>
    <x v="2"/>
    <x v="5"/>
    <n v="1"/>
    <x v="1"/>
    <s v="SP1"/>
    <s v="CC"/>
    <n v="0.12"/>
    <n v="240000"/>
    <n v="80"/>
    <n v="14"/>
    <n v="30"/>
  </r>
  <r>
    <s v="ORD0146"/>
    <s v="2025-03-18"/>
    <x v="3"/>
    <n v="26"/>
    <x v="0"/>
    <x v="0"/>
    <x v="2"/>
    <n v="3934.88"/>
    <n v="4"/>
    <n v="15739.52"/>
    <x v="0"/>
    <x v="9"/>
    <n v="1"/>
    <x v="1"/>
    <s v="CO1"/>
    <s v="COD"/>
    <n v="0.12"/>
    <n v="350000"/>
    <n v="31"/>
    <n v="12"/>
    <n v="100"/>
  </r>
  <r>
    <s v="ORD0147"/>
    <s v="2025-07-05"/>
    <x v="5"/>
    <n v="54"/>
    <x v="1"/>
    <x v="5"/>
    <x v="2"/>
    <n v="261.57"/>
    <n v="5"/>
    <n v="1307.8499999999999"/>
    <x v="2"/>
    <x v="0"/>
    <n v="4"/>
    <x v="0"/>
    <s v="CO1"/>
    <s v="CC"/>
    <n v="0.12"/>
    <n v="350000"/>
    <n v="80"/>
    <n v="12"/>
    <n v="100"/>
  </r>
  <r>
    <s v="ORD0148"/>
    <s v="2025-12-24"/>
    <x v="11"/>
    <n v="25"/>
    <x v="0"/>
    <x v="0"/>
    <x v="4"/>
    <n v="915.42"/>
    <n v="5"/>
    <n v="4577.0999999999995"/>
    <x v="2"/>
    <x v="0"/>
    <n v="1"/>
    <x v="1"/>
    <s v="B01"/>
    <s v="CC"/>
    <n v="0.05"/>
    <n v="400000"/>
    <n v="80"/>
    <n v="7"/>
    <n v="40"/>
  </r>
  <r>
    <s v="ORD0149"/>
    <s v="2025-04-05"/>
    <x v="0"/>
    <n v="27"/>
    <x v="0"/>
    <x v="5"/>
    <x v="1"/>
    <n v="1259.93"/>
    <n v="3"/>
    <n v="3779.79"/>
    <x v="3"/>
    <x v="3"/>
    <n v="3"/>
    <x v="1"/>
    <s v="SP1"/>
    <s v="UPI"/>
    <n v="0.12"/>
    <n v="240000"/>
    <n v="50"/>
    <n v="14"/>
    <n v="30"/>
  </r>
  <r>
    <s v="ORD0150"/>
    <s v="2025-06-11"/>
    <x v="6"/>
    <n v="21"/>
    <x v="0"/>
    <x v="4"/>
    <x v="2"/>
    <n v="2426.61"/>
    <n v="4"/>
    <n v="9706.44"/>
    <x v="1"/>
    <x v="7"/>
    <n v="2"/>
    <x v="1"/>
    <s v="CO1"/>
    <s v="NB"/>
    <n v="0.12"/>
    <n v="350000"/>
    <n v="50"/>
    <n v="12"/>
    <n v="100"/>
  </r>
  <r>
    <s v="ORD0151"/>
    <s v="2025-04-10"/>
    <x v="0"/>
    <n v="18"/>
    <x v="2"/>
    <x v="3"/>
    <x v="5"/>
    <n v="2748.48"/>
    <n v="4"/>
    <n v="10993.92"/>
    <x v="4"/>
    <x v="8"/>
    <n v="4"/>
    <x v="0"/>
    <s v="BE1"/>
    <s v="DC"/>
    <n v="0.14000000000000001"/>
    <n v="300000"/>
    <n v="90"/>
    <n v="12"/>
    <n v="70"/>
  </r>
  <r>
    <s v="ORD0152"/>
    <s v="2025-11-13"/>
    <x v="4"/>
    <n v="39"/>
    <x v="0"/>
    <x v="1"/>
    <x v="2"/>
    <n v="806.53"/>
    <n v="1"/>
    <n v="806.53"/>
    <x v="2"/>
    <x v="8"/>
    <n v="5"/>
    <x v="1"/>
    <s v="CO1"/>
    <s v="CC"/>
    <n v="0.12"/>
    <n v="350000"/>
    <n v="80"/>
    <n v="12"/>
    <n v="100"/>
  </r>
  <r>
    <s v="ORD0153"/>
    <s v="2025-10-12"/>
    <x v="8"/>
    <n v="39"/>
    <x v="0"/>
    <x v="5"/>
    <x v="4"/>
    <n v="3499.85"/>
    <n v="3"/>
    <n v="10499.55"/>
    <x v="0"/>
    <x v="8"/>
    <n v="1"/>
    <x v="1"/>
    <s v="B01"/>
    <s v="COD"/>
    <n v="0.05"/>
    <n v="400000"/>
    <n v="31"/>
    <n v="7"/>
    <n v="40"/>
  </r>
  <r>
    <s v="ORD0154"/>
    <s v="2025-07-28"/>
    <x v="5"/>
    <n v="57"/>
    <x v="1"/>
    <x v="2"/>
    <x v="4"/>
    <n v="3274.59"/>
    <n v="2"/>
    <n v="6549.18"/>
    <x v="1"/>
    <x v="8"/>
    <n v="1"/>
    <x v="1"/>
    <s v="B01"/>
    <s v="NB"/>
    <n v="0.05"/>
    <n v="400000"/>
    <n v="50"/>
    <n v="7"/>
    <n v="40"/>
  </r>
  <r>
    <s v="ORD0155"/>
    <s v="2025-08-23"/>
    <x v="2"/>
    <n v="48"/>
    <x v="0"/>
    <x v="0"/>
    <x v="1"/>
    <n v="3213.53"/>
    <n v="3"/>
    <n v="9640.59"/>
    <x v="1"/>
    <x v="9"/>
    <n v="1"/>
    <x v="1"/>
    <s v="SP1"/>
    <s v="NB"/>
    <n v="0.12"/>
    <n v="240000"/>
    <n v="50"/>
    <n v="14"/>
    <n v="30"/>
  </r>
  <r>
    <s v="ORD0156"/>
    <s v="2025-09-16"/>
    <x v="10"/>
    <n v="18"/>
    <x v="2"/>
    <x v="0"/>
    <x v="4"/>
    <n v="2000.95"/>
    <n v="2"/>
    <n v="4001.9"/>
    <x v="3"/>
    <x v="9"/>
    <n v="4"/>
    <x v="1"/>
    <s v="B01"/>
    <s v="UPI"/>
    <n v="0.05"/>
    <n v="400000"/>
    <n v="50"/>
    <n v="7"/>
    <n v="40"/>
  </r>
  <r>
    <s v="ORD0157"/>
    <s v="2025-09-22"/>
    <x v="10"/>
    <n v="18"/>
    <x v="2"/>
    <x v="2"/>
    <x v="5"/>
    <n v="1710.69"/>
    <n v="5"/>
    <n v="8553.4500000000007"/>
    <x v="2"/>
    <x v="5"/>
    <n v="2"/>
    <x v="1"/>
    <s v="BE1"/>
    <s v="CC"/>
    <n v="0.14000000000000001"/>
    <n v="300000"/>
    <n v="80"/>
    <n v="12"/>
    <n v="70"/>
  </r>
  <r>
    <s v="ORD0158"/>
    <s v="2025-02-02"/>
    <x v="9"/>
    <n v="52"/>
    <x v="1"/>
    <x v="1"/>
    <x v="4"/>
    <n v="1501.12"/>
    <n v="5"/>
    <n v="7505.5999999999995"/>
    <x v="1"/>
    <x v="9"/>
    <n v="3"/>
    <x v="1"/>
    <s v="B01"/>
    <s v="NB"/>
    <n v="0.05"/>
    <n v="400000"/>
    <n v="50"/>
    <n v="7"/>
    <n v="40"/>
  </r>
  <r>
    <s v="ORD0159"/>
    <s v="2025-02-14"/>
    <x v="9"/>
    <n v="28"/>
    <x v="0"/>
    <x v="4"/>
    <x v="3"/>
    <n v="806.2"/>
    <n v="1"/>
    <n v="806.2"/>
    <x v="4"/>
    <x v="7"/>
    <n v="3"/>
    <x v="1"/>
    <s v="EL1"/>
    <s v="DC"/>
    <n v="0.18"/>
    <n v="450000"/>
    <n v="90"/>
    <n v="15"/>
    <n v="50"/>
  </r>
  <r>
    <s v="ORD0160"/>
    <s v="2025-09-09"/>
    <x v="10"/>
    <n v="59"/>
    <x v="1"/>
    <x v="0"/>
    <x v="1"/>
    <n v="1483.91"/>
    <n v="5"/>
    <n v="7419.55"/>
    <x v="4"/>
    <x v="6"/>
    <n v="5"/>
    <x v="0"/>
    <s v="SP1"/>
    <s v="DC"/>
    <n v="0.12"/>
    <n v="240000"/>
    <n v="90"/>
    <n v="14"/>
    <n v="30"/>
  </r>
  <r>
    <s v="ORD0161"/>
    <s v="2025-01-20"/>
    <x v="1"/>
    <n v="24"/>
    <x v="0"/>
    <x v="4"/>
    <x v="1"/>
    <n v="1005.51"/>
    <n v="2"/>
    <n v="2011.02"/>
    <x v="3"/>
    <x v="7"/>
    <n v="3"/>
    <x v="1"/>
    <s v="SP1"/>
    <s v="UPI"/>
    <n v="0.12"/>
    <n v="240000"/>
    <n v="50"/>
    <n v="14"/>
    <n v="30"/>
  </r>
  <r>
    <s v="ORD0162"/>
    <s v="2025-12-10"/>
    <x v="11"/>
    <n v="38"/>
    <x v="0"/>
    <x v="4"/>
    <x v="0"/>
    <n v="780.03"/>
    <n v="2"/>
    <n v="1560.06"/>
    <x v="4"/>
    <x v="0"/>
    <n v="1"/>
    <x v="1"/>
    <s v="HA1"/>
    <s v="DC"/>
    <n v="0.1"/>
    <n v="560000"/>
    <n v="90"/>
    <n v="13"/>
    <n v="60"/>
  </r>
  <r>
    <s v="ORD0163"/>
    <s v="2025-07-07"/>
    <x v="5"/>
    <n v="19"/>
    <x v="2"/>
    <x v="1"/>
    <x v="5"/>
    <n v="2577.54"/>
    <n v="1"/>
    <n v="2577.54"/>
    <x v="3"/>
    <x v="2"/>
    <n v="1"/>
    <x v="1"/>
    <s v="BE1"/>
    <s v="UPI"/>
    <n v="0.14000000000000001"/>
    <n v="300000"/>
    <n v="50"/>
    <n v="12"/>
    <n v="70"/>
  </r>
  <r>
    <s v="ORD0164"/>
    <s v="2025-03-05"/>
    <x v="3"/>
    <n v="35"/>
    <x v="0"/>
    <x v="3"/>
    <x v="5"/>
    <n v="366.51"/>
    <n v="3"/>
    <n v="1099.53"/>
    <x v="1"/>
    <x v="9"/>
    <n v="4"/>
    <x v="0"/>
    <s v="BE1"/>
    <s v="NB"/>
    <n v="0.14000000000000001"/>
    <n v="300000"/>
    <n v="50"/>
    <n v="12"/>
    <n v="70"/>
  </r>
  <r>
    <s v="ORD0165"/>
    <s v="2025-09-21"/>
    <x v="10"/>
    <n v="29"/>
    <x v="0"/>
    <x v="5"/>
    <x v="4"/>
    <n v="4905.82"/>
    <n v="2"/>
    <n v="9811.64"/>
    <x v="0"/>
    <x v="6"/>
    <n v="2"/>
    <x v="1"/>
    <s v="B01"/>
    <s v="COD"/>
    <n v="0.05"/>
    <n v="400000"/>
    <n v="31"/>
    <n v="7"/>
    <n v="40"/>
  </r>
  <r>
    <s v="ORD0166"/>
    <s v="2025-12-09"/>
    <x v="11"/>
    <n v="36"/>
    <x v="0"/>
    <x v="4"/>
    <x v="2"/>
    <n v="3343.63"/>
    <n v="2"/>
    <n v="6687.26"/>
    <x v="2"/>
    <x v="1"/>
    <n v="2"/>
    <x v="1"/>
    <s v="CO1"/>
    <s v="CC"/>
    <n v="0.12"/>
    <n v="350000"/>
    <n v="80"/>
    <n v="12"/>
    <n v="100"/>
  </r>
  <r>
    <s v="ORD0167"/>
    <s v="2025-08-26"/>
    <x v="2"/>
    <n v="24"/>
    <x v="0"/>
    <x v="2"/>
    <x v="1"/>
    <n v="2378.6799999999998"/>
    <n v="2"/>
    <n v="4757.3599999999997"/>
    <x v="3"/>
    <x v="8"/>
    <n v="2"/>
    <x v="1"/>
    <s v="SP1"/>
    <s v="UPI"/>
    <n v="0.12"/>
    <n v="240000"/>
    <n v="50"/>
    <n v="14"/>
    <n v="30"/>
  </r>
  <r>
    <s v="ORD0168"/>
    <s v="2025-02-03"/>
    <x v="9"/>
    <n v="42"/>
    <x v="0"/>
    <x v="5"/>
    <x v="4"/>
    <n v="3452.45"/>
    <n v="2"/>
    <n v="6904.9"/>
    <x v="4"/>
    <x v="3"/>
    <n v="1"/>
    <x v="1"/>
    <s v="B01"/>
    <s v="DC"/>
    <n v="0.05"/>
    <n v="400000"/>
    <n v="90"/>
    <n v="7"/>
    <n v="40"/>
  </r>
  <r>
    <s v="ORD0169"/>
    <s v="2025-11-11"/>
    <x v="4"/>
    <n v="32"/>
    <x v="0"/>
    <x v="2"/>
    <x v="4"/>
    <n v="4424.59"/>
    <n v="2"/>
    <n v="8849.18"/>
    <x v="3"/>
    <x v="0"/>
    <n v="4"/>
    <x v="1"/>
    <s v="B01"/>
    <s v="UPI"/>
    <n v="0.05"/>
    <n v="400000"/>
    <n v="50"/>
    <n v="7"/>
    <n v="40"/>
  </r>
  <r>
    <s v="ORD0170"/>
    <s v="2025-04-25"/>
    <x v="0"/>
    <n v="49"/>
    <x v="0"/>
    <x v="1"/>
    <x v="3"/>
    <n v="273.33999999999997"/>
    <n v="3"/>
    <n v="820.02"/>
    <x v="2"/>
    <x v="7"/>
    <n v="5"/>
    <x v="0"/>
    <s v="EL1"/>
    <s v="CC"/>
    <n v="0.18"/>
    <n v="450000"/>
    <n v="80"/>
    <n v="15"/>
    <n v="50"/>
  </r>
  <r>
    <s v="ORD0171"/>
    <s v="2025-07-02"/>
    <x v="5"/>
    <n v="43"/>
    <x v="0"/>
    <x v="2"/>
    <x v="3"/>
    <n v="2507.02"/>
    <n v="5"/>
    <n v="12535.1"/>
    <x v="3"/>
    <x v="2"/>
    <n v="2"/>
    <x v="1"/>
    <s v="EL1"/>
    <s v="UPI"/>
    <n v="0.18"/>
    <n v="450000"/>
    <n v="50"/>
    <n v="15"/>
    <n v="50"/>
  </r>
  <r>
    <s v="ORD0172"/>
    <s v="2025-09-16"/>
    <x v="10"/>
    <n v="20"/>
    <x v="2"/>
    <x v="3"/>
    <x v="0"/>
    <n v="495.35"/>
    <n v="2"/>
    <n v="990.7"/>
    <x v="2"/>
    <x v="6"/>
    <n v="1"/>
    <x v="1"/>
    <s v="HA1"/>
    <s v="CC"/>
    <n v="0.1"/>
    <n v="560000"/>
    <n v="80"/>
    <n v="13"/>
    <n v="60"/>
  </r>
  <r>
    <s v="ORD0173"/>
    <s v="2025-10-28"/>
    <x v="8"/>
    <n v="22"/>
    <x v="0"/>
    <x v="5"/>
    <x v="0"/>
    <n v="2816.06"/>
    <n v="1"/>
    <n v="2816.06"/>
    <x v="3"/>
    <x v="0"/>
    <n v="1"/>
    <x v="1"/>
    <s v="HA1"/>
    <s v="UPI"/>
    <n v="0.1"/>
    <n v="560000"/>
    <n v="50"/>
    <n v="13"/>
    <n v="60"/>
  </r>
  <r>
    <s v="ORD0174"/>
    <s v="2025-02-04"/>
    <x v="9"/>
    <n v="26"/>
    <x v="0"/>
    <x v="4"/>
    <x v="0"/>
    <n v="4688.0200000000004"/>
    <n v="2"/>
    <n v="9376.0400000000009"/>
    <x v="1"/>
    <x v="5"/>
    <n v="2"/>
    <x v="1"/>
    <s v="HA1"/>
    <s v="NB"/>
    <n v="0.1"/>
    <n v="560000"/>
    <n v="50"/>
    <n v="13"/>
    <n v="60"/>
  </r>
  <r>
    <s v="ORD0175"/>
    <s v="2025-02-26"/>
    <x v="9"/>
    <n v="51"/>
    <x v="1"/>
    <x v="2"/>
    <x v="1"/>
    <n v="1545.27"/>
    <n v="1"/>
    <n v="1545.27"/>
    <x v="4"/>
    <x v="2"/>
    <n v="4"/>
    <x v="1"/>
    <s v="SP1"/>
    <s v="DC"/>
    <n v="0.12"/>
    <n v="240000"/>
    <n v="90"/>
    <n v="14"/>
    <n v="30"/>
  </r>
  <r>
    <s v="ORD0176"/>
    <s v="2025-09-09"/>
    <x v="10"/>
    <n v="21"/>
    <x v="0"/>
    <x v="0"/>
    <x v="5"/>
    <n v="4781.78"/>
    <n v="3"/>
    <n v="14345.34"/>
    <x v="3"/>
    <x v="4"/>
    <n v="4"/>
    <x v="0"/>
    <s v="BE1"/>
    <s v="UPI"/>
    <n v="0.14000000000000001"/>
    <n v="300000"/>
    <n v="50"/>
    <n v="12"/>
    <n v="70"/>
  </r>
  <r>
    <s v="ORD0177"/>
    <s v="2025-02-10"/>
    <x v="9"/>
    <n v="59"/>
    <x v="1"/>
    <x v="2"/>
    <x v="3"/>
    <n v="1358.01"/>
    <n v="5"/>
    <n v="6790.05"/>
    <x v="4"/>
    <x v="8"/>
    <n v="4"/>
    <x v="0"/>
    <s v="EL1"/>
    <s v="DC"/>
    <n v="0.18"/>
    <n v="450000"/>
    <n v="90"/>
    <n v="15"/>
    <n v="50"/>
  </r>
  <r>
    <s v="ORD0178"/>
    <s v="2025-04-05"/>
    <x v="0"/>
    <n v="19"/>
    <x v="2"/>
    <x v="1"/>
    <x v="5"/>
    <n v="791.17"/>
    <n v="2"/>
    <n v="1582.34"/>
    <x v="2"/>
    <x v="0"/>
    <n v="3"/>
    <x v="1"/>
    <s v="BE1"/>
    <s v="CC"/>
    <n v="0.14000000000000001"/>
    <n v="300000"/>
    <n v="80"/>
    <n v="12"/>
    <n v="70"/>
  </r>
  <r>
    <s v="ORD0179"/>
    <s v="2025-07-16"/>
    <x v="5"/>
    <n v="32"/>
    <x v="0"/>
    <x v="0"/>
    <x v="2"/>
    <n v="3412.65"/>
    <n v="4"/>
    <n v="13650.6"/>
    <x v="3"/>
    <x v="7"/>
    <n v="3"/>
    <x v="1"/>
    <s v="CO1"/>
    <s v="UPI"/>
    <n v="0.12"/>
    <n v="350000"/>
    <n v="50"/>
    <n v="12"/>
    <n v="100"/>
  </r>
  <r>
    <s v="ORD0180"/>
    <s v="2025-04-17"/>
    <x v="0"/>
    <n v="27"/>
    <x v="0"/>
    <x v="3"/>
    <x v="5"/>
    <n v="2375.9899999999998"/>
    <n v="5"/>
    <n v="11879.949999999999"/>
    <x v="4"/>
    <x v="4"/>
    <n v="4"/>
    <x v="0"/>
    <s v="BE1"/>
    <s v="DC"/>
    <n v="0.14000000000000001"/>
    <n v="300000"/>
    <n v="90"/>
    <n v="12"/>
    <n v="70"/>
  </r>
  <r>
    <s v="ORD0181"/>
    <s v="2025-06-25"/>
    <x v="6"/>
    <n v="36"/>
    <x v="0"/>
    <x v="4"/>
    <x v="1"/>
    <n v="2288.9699999999998"/>
    <n v="1"/>
    <n v="2288.9699999999998"/>
    <x v="0"/>
    <x v="5"/>
    <n v="1"/>
    <x v="1"/>
    <s v="SP1"/>
    <s v="COD"/>
    <n v="0.12"/>
    <n v="240000"/>
    <n v="31"/>
    <n v="14"/>
    <n v="30"/>
  </r>
  <r>
    <s v="ORD0182"/>
    <s v="2025-09-22"/>
    <x v="10"/>
    <n v="38"/>
    <x v="0"/>
    <x v="1"/>
    <x v="0"/>
    <n v="1239.43"/>
    <n v="1"/>
    <n v="1239.43"/>
    <x v="1"/>
    <x v="5"/>
    <n v="2"/>
    <x v="1"/>
    <s v="HA1"/>
    <s v="NB"/>
    <n v="0.1"/>
    <n v="560000"/>
    <n v="50"/>
    <n v="13"/>
    <n v="60"/>
  </r>
  <r>
    <s v="ORD0183"/>
    <s v="2025-12-02"/>
    <x v="11"/>
    <n v="18"/>
    <x v="2"/>
    <x v="4"/>
    <x v="2"/>
    <n v="3557.98"/>
    <n v="3"/>
    <n v="10673.94"/>
    <x v="2"/>
    <x v="2"/>
    <n v="1"/>
    <x v="1"/>
    <s v="CO1"/>
    <s v="CC"/>
    <n v="0.12"/>
    <n v="350000"/>
    <n v="80"/>
    <n v="12"/>
    <n v="100"/>
  </r>
  <r>
    <s v="ORD0184"/>
    <s v="2025-08-25"/>
    <x v="2"/>
    <n v="23"/>
    <x v="0"/>
    <x v="4"/>
    <x v="4"/>
    <n v="3716.02"/>
    <n v="5"/>
    <n v="18580.099999999999"/>
    <x v="1"/>
    <x v="0"/>
    <n v="4"/>
    <x v="0"/>
    <s v="B01"/>
    <s v="NB"/>
    <n v="0.05"/>
    <n v="400000"/>
    <n v="50"/>
    <n v="7"/>
    <n v="40"/>
  </r>
  <r>
    <s v="ORD0185"/>
    <s v="2025-11-23"/>
    <x v="4"/>
    <n v="41"/>
    <x v="0"/>
    <x v="0"/>
    <x v="2"/>
    <n v="766.22"/>
    <n v="5"/>
    <n v="3831.1000000000004"/>
    <x v="4"/>
    <x v="0"/>
    <n v="4"/>
    <x v="0"/>
    <s v="CO1"/>
    <s v="DC"/>
    <n v="0.12"/>
    <n v="350000"/>
    <n v="90"/>
    <n v="12"/>
    <n v="100"/>
  </r>
  <r>
    <s v="ORD0186"/>
    <s v="2025-09-12"/>
    <x v="10"/>
    <n v="50"/>
    <x v="0"/>
    <x v="1"/>
    <x v="4"/>
    <n v="1533.37"/>
    <n v="1"/>
    <n v="1533.37"/>
    <x v="2"/>
    <x v="0"/>
    <n v="1"/>
    <x v="1"/>
    <s v="B01"/>
    <s v="CC"/>
    <n v="0.05"/>
    <n v="400000"/>
    <n v="80"/>
    <n v="7"/>
    <n v="40"/>
  </r>
  <r>
    <s v="ORD0187"/>
    <s v="2025-10-20"/>
    <x v="8"/>
    <n v="31"/>
    <x v="0"/>
    <x v="4"/>
    <x v="4"/>
    <n v="2303.31"/>
    <n v="4"/>
    <n v="9213.24"/>
    <x v="2"/>
    <x v="9"/>
    <n v="3"/>
    <x v="1"/>
    <s v="B01"/>
    <s v="CC"/>
    <n v="0.05"/>
    <n v="400000"/>
    <n v="80"/>
    <n v="7"/>
    <n v="40"/>
  </r>
  <r>
    <s v="ORD0188"/>
    <s v="2025-06-04"/>
    <x v="6"/>
    <n v="29"/>
    <x v="0"/>
    <x v="1"/>
    <x v="4"/>
    <n v="3105.81"/>
    <n v="3"/>
    <n v="9317.43"/>
    <x v="1"/>
    <x v="2"/>
    <n v="5"/>
    <x v="0"/>
    <s v="B01"/>
    <s v="NB"/>
    <n v="0.05"/>
    <n v="400000"/>
    <n v="50"/>
    <n v="7"/>
    <n v="40"/>
  </r>
  <r>
    <s v="ORD0189"/>
    <s v="2025-09-29"/>
    <x v="10"/>
    <n v="44"/>
    <x v="0"/>
    <x v="5"/>
    <x v="3"/>
    <n v="4908.72"/>
    <n v="5"/>
    <n v="24543.600000000002"/>
    <x v="1"/>
    <x v="7"/>
    <n v="4"/>
    <x v="0"/>
    <s v="EL1"/>
    <s v="NB"/>
    <n v="0.18"/>
    <n v="450000"/>
    <n v="50"/>
    <n v="15"/>
    <n v="50"/>
  </r>
  <r>
    <s v="ORD0190"/>
    <s v="2025-08-11"/>
    <x v="2"/>
    <n v="42"/>
    <x v="0"/>
    <x v="0"/>
    <x v="2"/>
    <n v="2817.36"/>
    <n v="3"/>
    <n v="8452.08"/>
    <x v="3"/>
    <x v="0"/>
    <n v="1"/>
    <x v="1"/>
    <s v="CO1"/>
    <s v="UPI"/>
    <n v="0.12"/>
    <n v="350000"/>
    <n v="50"/>
    <n v="12"/>
    <n v="100"/>
  </r>
  <r>
    <s v="ORD0191"/>
    <s v="2025-08-26"/>
    <x v="2"/>
    <n v="60"/>
    <x v="1"/>
    <x v="0"/>
    <x v="2"/>
    <n v="4861.29"/>
    <n v="1"/>
    <n v="4861.29"/>
    <x v="0"/>
    <x v="1"/>
    <n v="3"/>
    <x v="1"/>
    <s v="CO1"/>
    <s v="COD"/>
    <n v="0.12"/>
    <n v="350000"/>
    <n v="31"/>
    <n v="12"/>
    <n v="100"/>
  </r>
  <r>
    <s v="ORD0192"/>
    <s v="2025-06-23"/>
    <x v="6"/>
    <n v="57"/>
    <x v="1"/>
    <x v="0"/>
    <x v="2"/>
    <n v="2440.0700000000002"/>
    <n v="5"/>
    <n v="12200.35"/>
    <x v="4"/>
    <x v="2"/>
    <n v="3"/>
    <x v="1"/>
    <s v="CO1"/>
    <s v="DC"/>
    <n v="0.12"/>
    <n v="350000"/>
    <n v="90"/>
    <n v="12"/>
    <n v="100"/>
  </r>
  <r>
    <s v="ORD0193"/>
    <s v="2025-12-16"/>
    <x v="11"/>
    <n v="51"/>
    <x v="1"/>
    <x v="5"/>
    <x v="3"/>
    <n v="2727.42"/>
    <n v="4"/>
    <n v="10909.68"/>
    <x v="2"/>
    <x v="0"/>
    <n v="3"/>
    <x v="1"/>
    <s v="EL1"/>
    <s v="CC"/>
    <n v="0.18"/>
    <n v="450000"/>
    <n v="80"/>
    <n v="15"/>
    <n v="50"/>
  </r>
  <r>
    <s v="ORD0194"/>
    <s v="2025-12-02"/>
    <x v="11"/>
    <n v="20"/>
    <x v="2"/>
    <x v="4"/>
    <x v="2"/>
    <n v="4120.1499999999996"/>
    <n v="1"/>
    <n v="4120.1499999999996"/>
    <x v="0"/>
    <x v="6"/>
    <n v="4"/>
    <x v="1"/>
    <s v="CO1"/>
    <s v="COD"/>
    <n v="0.12"/>
    <n v="350000"/>
    <n v="31"/>
    <n v="12"/>
    <n v="100"/>
  </r>
  <r>
    <s v="ORD0195"/>
    <s v="2025-10-27"/>
    <x v="8"/>
    <n v="60"/>
    <x v="1"/>
    <x v="4"/>
    <x v="3"/>
    <n v="3473.2"/>
    <n v="2"/>
    <n v="6946.4"/>
    <x v="1"/>
    <x v="6"/>
    <n v="2"/>
    <x v="1"/>
    <s v="EL1"/>
    <s v="NB"/>
    <n v="0.18"/>
    <n v="450000"/>
    <n v="50"/>
    <n v="15"/>
    <n v="50"/>
  </r>
  <r>
    <s v="ORD0196"/>
    <s v="2025-12-11"/>
    <x v="11"/>
    <n v="20"/>
    <x v="2"/>
    <x v="2"/>
    <x v="5"/>
    <n v="3405.19"/>
    <n v="4"/>
    <n v="13620.76"/>
    <x v="2"/>
    <x v="3"/>
    <n v="5"/>
    <x v="0"/>
    <s v="BE1"/>
    <s v="CC"/>
    <n v="0.14000000000000001"/>
    <n v="300000"/>
    <n v="80"/>
    <n v="12"/>
    <n v="70"/>
  </r>
  <r>
    <s v="ORD0197"/>
    <s v="2025-10-01"/>
    <x v="8"/>
    <n v="20"/>
    <x v="2"/>
    <x v="2"/>
    <x v="5"/>
    <n v="4597.17"/>
    <n v="1"/>
    <n v="4597.17"/>
    <x v="2"/>
    <x v="5"/>
    <n v="1"/>
    <x v="1"/>
    <s v="BE1"/>
    <s v="CC"/>
    <n v="0.14000000000000001"/>
    <n v="300000"/>
    <n v="80"/>
    <n v="12"/>
    <n v="70"/>
  </r>
  <r>
    <s v="ORD0198"/>
    <s v="2025-08-31"/>
    <x v="2"/>
    <n v="47"/>
    <x v="0"/>
    <x v="4"/>
    <x v="3"/>
    <n v="1173.99"/>
    <n v="2"/>
    <n v="2347.98"/>
    <x v="2"/>
    <x v="6"/>
    <n v="2"/>
    <x v="1"/>
    <s v="EL1"/>
    <s v="CC"/>
    <n v="0.18"/>
    <n v="450000"/>
    <n v="80"/>
    <n v="15"/>
    <n v="50"/>
  </r>
  <r>
    <s v="ORD0199"/>
    <s v="2025-05-09"/>
    <x v="7"/>
    <n v="55"/>
    <x v="1"/>
    <x v="5"/>
    <x v="4"/>
    <n v="2657.07"/>
    <n v="4"/>
    <n v="10628.28"/>
    <x v="2"/>
    <x v="3"/>
    <n v="2"/>
    <x v="1"/>
    <s v="B01"/>
    <s v="CC"/>
    <n v="0.05"/>
    <n v="400000"/>
    <n v="80"/>
    <n v="7"/>
    <n v="40"/>
  </r>
  <r>
    <s v="ORD0200"/>
    <s v="2025-11-05"/>
    <x v="4"/>
    <n v="19"/>
    <x v="2"/>
    <x v="3"/>
    <x v="1"/>
    <n v="612.82000000000005"/>
    <n v="2"/>
    <n v="1225.6400000000001"/>
    <x v="3"/>
    <x v="1"/>
    <n v="1"/>
    <x v="1"/>
    <s v="SP1"/>
    <s v="UPI"/>
    <n v="0.12"/>
    <n v="240000"/>
    <n v="50"/>
    <n v="14"/>
    <n v="30"/>
  </r>
  <r>
    <s v="ORD0201"/>
    <s v="2025-11-05"/>
    <x v="4"/>
    <n v="52"/>
    <x v="1"/>
    <x v="4"/>
    <x v="2"/>
    <n v="1465.87"/>
    <n v="4"/>
    <n v="5863.48"/>
    <x v="4"/>
    <x v="9"/>
    <n v="3"/>
    <x v="1"/>
    <s v="CO1"/>
    <s v="DC"/>
    <n v="0.12"/>
    <n v="350000"/>
    <n v="90"/>
    <n v="12"/>
    <n v="100"/>
  </r>
  <r>
    <s v="ORD0202"/>
    <s v="2025-05-23"/>
    <x v="7"/>
    <n v="59"/>
    <x v="1"/>
    <x v="4"/>
    <x v="1"/>
    <n v="2777.35"/>
    <n v="1"/>
    <n v="2777.35"/>
    <x v="1"/>
    <x v="8"/>
    <n v="4"/>
    <x v="1"/>
    <s v="SP1"/>
    <s v="NB"/>
    <n v="0.12"/>
    <n v="240000"/>
    <n v="50"/>
    <n v="14"/>
    <n v="30"/>
  </r>
  <r>
    <s v="ORD0203"/>
    <s v="2025-06-14"/>
    <x v="6"/>
    <n v="27"/>
    <x v="0"/>
    <x v="5"/>
    <x v="5"/>
    <n v="2052.02"/>
    <n v="2"/>
    <n v="4104.04"/>
    <x v="4"/>
    <x v="7"/>
    <n v="3"/>
    <x v="1"/>
    <s v="BE1"/>
    <s v="DC"/>
    <n v="0.14000000000000001"/>
    <n v="300000"/>
    <n v="90"/>
    <n v="12"/>
    <n v="70"/>
  </r>
  <r>
    <s v="ORD0204"/>
    <s v="2025-08-10"/>
    <x v="2"/>
    <n v="32"/>
    <x v="0"/>
    <x v="4"/>
    <x v="1"/>
    <n v="2557.85"/>
    <n v="5"/>
    <n v="12789.25"/>
    <x v="1"/>
    <x v="8"/>
    <n v="4"/>
    <x v="0"/>
    <s v="SP1"/>
    <s v="NB"/>
    <n v="0.12"/>
    <n v="240000"/>
    <n v="50"/>
    <n v="14"/>
    <n v="30"/>
  </r>
  <r>
    <s v="ORD0205"/>
    <s v="2025-06-14"/>
    <x v="6"/>
    <n v="25"/>
    <x v="0"/>
    <x v="2"/>
    <x v="2"/>
    <n v="2261.29"/>
    <n v="2"/>
    <n v="4522.58"/>
    <x v="3"/>
    <x v="3"/>
    <n v="1"/>
    <x v="1"/>
    <s v="CO1"/>
    <s v="UPI"/>
    <n v="0.12"/>
    <n v="350000"/>
    <n v="50"/>
    <n v="12"/>
    <n v="100"/>
  </r>
  <r>
    <s v="ORD0206"/>
    <s v="2025-03-08"/>
    <x v="3"/>
    <n v="23"/>
    <x v="0"/>
    <x v="4"/>
    <x v="3"/>
    <n v="4030.04"/>
    <n v="2"/>
    <n v="8060.08"/>
    <x v="1"/>
    <x v="8"/>
    <n v="4"/>
    <x v="1"/>
    <s v="EL1"/>
    <s v="NB"/>
    <n v="0.18"/>
    <n v="450000"/>
    <n v="50"/>
    <n v="15"/>
    <n v="50"/>
  </r>
  <r>
    <s v="ORD0207"/>
    <s v="2025-03-17"/>
    <x v="3"/>
    <n v="37"/>
    <x v="0"/>
    <x v="4"/>
    <x v="4"/>
    <n v="3769.18"/>
    <n v="2"/>
    <n v="7538.36"/>
    <x v="4"/>
    <x v="9"/>
    <n v="3"/>
    <x v="1"/>
    <s v="B01"/>
    <s v="DC"/>
    <n v="0.05"/>
    <n v="400000"/>
    <n v="90"/>
    <n v="7"/>
    <n v="40"/>
  </r>
  <r>
    <s v="ORD0208"/>
    <s v="2025-08-10"/>
    <x v="2"/>
    <n v="29"/>
    <x v="0"/>
    <x v="4"/>
    <x v="2"/>
    <n v="780.84"/>
    <n v="4"/>
    <n v="3123.36"/>
    <x v="0"/>
    <x v="1"/>
    <n v="2"/>
    <x v="1"/>
    <s v="CO1"/>
    <s v="COD"/>
    <n v="0.12"/>
    <n v="350000"/>
    <n v="31"/>
    <n v="12"/>
    <n v="100"/>
  </r>
  <r>
    <s v="ORD0209"/>
    <s v="2025-10-28"/>
    <x v="8"/>
    <n v="56"/>
    <x v="1"/>
    <x v="0"/>
    <x v="5"/>
    <n v="2648.97"/>
    <n v="1"/>
    <n v="2648.97"/>
    <x v="1"/>
    <x v="6"/>
    <n v="1"/>
    <x v="1"/>
    <s v="BE1"/>
    <s v="NB"/>
    <n v="0.14000000000000001"/>
    <n v="300000"/>
    <n v="50"/>
    <n v="12"/>
    <n v="70"/>
  </r>
  <r>
    <s v="ORD0210"/>
    <s v="2025-07-20"/>
    <x v="5"/>
    <n v="18"/>
    <x v="2"/>
    <x v="3"/>
    <x v="1"/>
    <n v="1049.01"/>
    <n v="3"/>
    <n v="3147.0299999999997"/>
    <x v="0"/>
    <x v="7"/>
    <n v="1"/>
    <x v="1"/>
    <s v="SP1"/>
    <s v="COD"/>
    <n v="0.12"/>
    <n v="240000"/>
    <n v="31"/>
    <n v="14"/>
    <n v="30"/>
  </r>
  <r>
    <s v="ORD0211"/>
    <s v="2025-07-07"/>
    <x v="5"/>
    <n v="59"/>
    <x v="1"/>
    <x v="5"/>
    <x v="3"/>
    <n v="1462.12"/>
    <n v="2"/>
    <n v="2924.24"/>
    <x v="1"/>
    <x v="0"/>
    <n v="2"/>
    <x v="1"/>
    <s v="EL1"/>
    <s v="NB"/>
    <n v="0.18"/>
    <n v="450000"/>
    <n v="50"/>
    <n v="15"/>
    <n v="50"/>
  </r>
  <r>
    <s v="ORD0212"/>
    <s v="2025-03-17"/>
    <x v="3"/>
    <n v="34"/>
    <x v="0"/>
    <x v="3"/>
    <x v="2"/>
    <n v="1275.3800000000001"/>
    <n v="1"/>
    <n v="1275.3800000000001"/>
    <x v="0"/>
    <x v="0"/>
    <n v="2"/>
    <x v="1"/>
    <s v="CO1"/>
    <s v="COD"/>
    <n v="0.12"/>
    <n v="350000"/>
    <n v="31"/>
    <n v="12"/>
    <n v="100"/>
  </r>
  <r>
    <s v="ORD0213"/>
    <s v="2025-04-21"/>
    <x v="0"/>
    <n v="57"/>
    <x v="1"/>
    <x v="3"/>
    <x v="2"/>
    <n v="255.76"/>
    <n v="3"/>
    <n v="767.28"/>
    <x v="0"/>
    <x v="6"/>
    <n v="4"/>
    <x v="0"/>
    <s v="CO1"/>
    <s v="COD"/>
    <n v="0.12"/>
    <n v="350000"/>
    <n v="31"/>
    <n v="12"/>
    <n v="100"/>
  </r>
  <r>
    <s v="ORD0214"/>
    <s v="2025-10-07"/>
    <x v="8"/>
    <n v="18"/>
    <x v="2"/>
    <x v="3"/>
    <x v="5"/>
    <n v="3330.77"/>
    <n v="1"/>
    <n v="3330.77"/>
    <x v="0"/>
    <x v="5"/>
    <n v="5"/>
    <x v="1"/>
    <s v="BE1"/>
    <s v="COD"/>
    <n v="0.14000000000000001"/>
    <n v="300000"/>
    <n v="31"/>
    <n v="12"/>
    <n v="70"/>
  </r>
  <r>
    <s v="ORD0215"/>
    <s v="2025-12-27"/>
    <x v="11"/>
    <n v="27"/>
    <x v="0"/>
    <x v="0"/>
    <x v="4"/>
    <n v="4382.78"/>
    <n v="4"/>
    <n v="17531.12"/>
    <x v="1"/>
    <x v="7"/>
    <n v="2"/>
    <x v="1"/>
    <s v="B01"/>
    <s v="NB"/>
    <n v="0.05"/>
    <n v="400000"/>
    <n v="50"/>
    <n v="7"/>
    <n v="40"/>
  </r>
  <r>
    <s v="ORD0216"/>
    <s v="2025-07-16"/>
    <x v="5"/>
    <n v="50"/>
    <x v="0"/>
    <x v="4"/>
    <x v="0"/>
    <n v="4287.13"/>
    <n v="4"/>
    <n v="17148.52"/>
    <x v="2"/>
    <x v="6"/>
    <n v="4"/>
    <x v="0"/>
    <s v="HA1"/>
    <s v="CC"/>
    <n v="0.1"/>
    <n v="560000"/>
    <n v="80"/>
    <n v="13"/>
    <n v="60"/>
  </r>
  <r>
    <s v="ORD0217"/>
    <s v="2025-05-25"/>
    <x v="7"/>
    <n v="59"/>
    <x v="1"/>
    <x v="1"/>
    <x v="3"/>
    <n v="2745.54"/>
    <n v="5"/>
    <n v="13727.7"/>
    <x v="4"/>
    <x v="5"/>
    <n v="3"/>
    <x v="1"/>
    <s v="EL1"/>
    <s v="DC"/>
    <n v="0.18"/>
    <n v="450000"/>
    <n v="90"/>
    <n v="15"/>
    <n v="50"/>
  </r>
  <r>
    <s v="ORD0218"/>
    <s v="2025-06-30"/>
    <x v="6"/>
    <n v="60"/>
    <x v="1"/>
    <x v="0"/>
    <x v="4"/>
    <n v="4645.87"/>
    <n v="3"/>
    <n v="13937.61"/>
    <x v="3"/>
    <x v="3"/>
    <n v="1"/>
    <x v="1"/>
    <s v="B01"/>
    <s v="UPI"/>
    <n v="0.05"/>
    <n v="400000"/>
    <n v="50"/>
    <n v="7"/>
    <n v="40"/>
  </r>
  <r>
    <s v="ORD0219"/>
    <s v="2025-05-14"/>
    <x v="7"/>
    <n v="34"/>
    <x v="0"/>
    <x v="2"/>
    <x v="0"/>
    <n v="3087.5"/>
    <n v="2"/>
    <n v="6175"/>
    <x v="3"/>
    <x v="5"/>
    <n v="4"/>
    <x v="1"/>
    <s v="HA1"/>
    <s v="UPI"/>
    <n v="0.1"/>
    <n v="560000"/>
    <n v="50"/>
    <n v="13"/>
    <n v="60"/>
  </r>
  <r>
    <s v="ORD0220"/>
    <s v="2025-12-22"/>
    <x v="11"/>
    <n v="27"/>
    <x v="0"/>
    <x v="2"/>
    <x v="4"/>
    <n v="4199.3599999999997"/>
    <n v="5"/>
    <n v="20996.799999999999"/>
    <x v="0"/>
    <x v="1"/>
    <n v="5"/>
    <x v="0"/>
    <s v="B01"/>
    <s v="COD"/>
    <n v="0.05"/>
    <n v="400000"/>
    <n v="31"/>
    <n v="7"/>
    <n v="40"/>
  </r>
  <r>
    <s v="ORD0221"/>
    <s v="2025-03-07"/>
    <x v="3"/>
    <n v="27"/>
    <x v="0"/>
    <x v="0"/>
    <x v="5"/>
    <n v="1353.62"/>
    <n v="5"/>
    <n v="6768.0999999999995"/>
    <x v="4"/>
    <x v="6"/>
    <n v="4"/>
    <x v="0"/>
    <s v="BE1"/>
    <s v="DC"/>
    <n v="0.14000000000000001"/>
    <n v="300000"/>
    <n v="90"/>
    <n v="12"/>
    <n v="70"/>
  </r>
  <r>
    <s v="ORD0222"/>
    <s v="2025-10-21"/>
    <x v="8"/>
    <n v="20"/>
    <x v="2"/>
    <x v="2"/>
    <x v="1"/>
    <n v="4579.6400000000003"/>
    <n v="3"/>
    <n v="13738.920000000002"/>
    <x v="1"/>
    <x v="7"/>
    <n v="5"/>
    <x v="0"/>
    <s v="SP1"/>
    <s v="NB"/>
    <n v="0.12"/>
    <n v="240000"/>
    <n v="50"/>
    <n v="14"/>
    <n v="30"/>
  </r>
  <r>
    <s v="ORD0223"/>
    <s v="2025-06-04"/>
    <x v="6"/>
    <n v="59"/>
    <x v="1"/>
    <x v="4"/>
    <x v="1"/>
    <n v="975.02"/>
    <n v="2"/>
    <n v="1950.04"/>
    <x v="2"/>
    <x v="1"/>
    <n v="2"/>
    <x v="1"/>
    <s v="SP1"/>
    <s v="CC"/>
    <n v="0.12"/>
    <n v="240000"/>
    <n v="80"/>
    <n v="14"/>
    <n v="30"/>
  </r>
  <r>
    <s v="ORD0224"/>
    <s v="2025-10-18"/>
    <x v="8"/>
    <n v="57"/>
    <x v="1"/>
    <x v="4"/>
    <x v="2"/>
    <n v="1632.4"/>
    <n v="5"/>
    <n v="8162"/>
    <x v="4"/>
    <x v="8"/>
    <n v="2"/>
    <x v="1"/>
    <s v="CO1"/>
    <s v="DC"/>
    <n v="0.12"/>
    <n v="350000"/>
    <n v="90"/>
    <n v="12"/>
    <n v="100"/>
  </r>
  <r>
    <s v="ORD0225"/>
    <s v="2025-05-25"/>
    <x v="7"/>
    <n v="38"/>
    <x v="0"/>
    <x v="2"/>
    <x v="1"/>
    <n v="4888.75"/>
    <n v="2"/>
    <n v="9777.5"/>
    <x v="0"/>
    <x v="3"/>
    <n v="4"/>
    <x v="1"/>
    <s v="SP1"/>
    <s v="COD"/>
    <n v="0.12"/>
    <n v="240000"/>
    <n v="31"/>
    <n v="14"/>
    <n v="30"/>
  </r>
  <r>
    <s v="ORD0226"/>
    <s v="2025-02-16"/>
    <x v="9"/>
    <n v="26"/>
    <x v="0"/>
    <x v="3"/>
    <x v="1"/>
    <n v="2052.3200000000002"/>
    <n v="5"/>
    <n v="10261.6"/>
    <x v="0"/>
    <x v="4"/>
    <n v="1"/>
    <x v="1"/>
    <s v="SP1"/>
    <s v="COD"/>
    <n v="0.12"/>
    <n v="240000"/>
    <n v="31"/>
    <n v="14"/>
    <n v="30"/>
  </r>
  <r>
    <s v="ORD0227"/>
    <s v="2025-03-16"/>
    <x v="3"/>
    <n v="58"/>
    <x v="1"/>
    <x v="4"/>
    <x v="0"/>
    <n v="854.01"/>
    <n v="2"/>
    <n v="1708.02"/>
    <x v="3"/>
    <x v="2"/>
    <n v="5"/>
    <x v="1"/>
    <s v="HA1"/>
    <s v="UPI"/>
    <n v="0.1"/>
    <n v="560000"/>
    <n v="50"/>
    <n v="13"/>
    <n v="60"/>
  </r>
  <r>
    <s v="ORD0228"/>
    <s v="2025-05-30"/>
    <x v="7"/>
    <n v="33"/>
    <x v="0"/>
    <x v="3"/>
    <x v="2"/>
    <n v="4567.82"/>
    <n v="2"/>
    <n v="9135.64"/>
    <x v="3"/>
    <x v="9"/>
    <n v="2"/>
    <x v="1"/>
    <s v="CO1"/>
    <s v="UPI"/>
    <n v="0.12"/>
    <n v="350000"/>
    <n v="50"/>
    <n v="12"/>
    <n v="100"/>
  </r>
  <r>
    <s v="ORD0229"/>
    <s v="2025-05-15"/>
    <x v="7"/>
    <n v="18"/>
    <x v="2"/>
    <x v="5"/>
    <x v="0"/>
    <n v="1445.87"/>
    <n v="1"/>
    <n v="1445.87"/>
    <x v="2"/>
    <x v="9"/>
    <n v="5"/>
    <x v="1"/>
    <s v="HA1"/>
    <s v="CC"/>
    <n v="0.1"/>
    <n v="560000"/>
    <n v="80"/>
    <n v="13"/>
    <n v="60"/>
  </r>
  <r>
    <s v="ORD0230"/>
    <s v="2025-12-30"/>
    <x v="11"/>
    <n v="43"/>
    <x v="0"/>
    <x v="5"/>
    <x v="1"/>
    <n v="1786.61"/>
    <n v="2"/>
    <n v="3573.22"/>
    <x v="1"/>
    <x v="2"/>
    <n v="2"/>
    <x v="1"/>
    <s v="SP1"/>
    <s v="NB"/>
    <n v="0.12"/>
    <n v="240000"/>
    <n v="50"/>
    <n v="14"/>
    <n v="30"/>
  </r>
  <r>
    <s v="ORD0231"/>
    <s v="2025-03-20"/>
    <x v="3"/>
    <n v="43"/>
    <x v="0"/>
    <x v="4"/>
    <x v="2"/>
    <n v="1365.57"/>
    <n v="5"/>
    <n v="6827.8499999999995"/>
    <x v="2"/>
    <x v="1"/>
    <n v="3"/>
    <x v="1"/>
    <s v="CO1"/>
    <s v="CC"/>
    <n v="0.12"/>
    <n v="350000"/>
    <n v="80"/>
    <n v="12"/>
    <n v="100"/>
  </r>
  <r>
    <s v="ORD0232"/>
    <s v="2025-01-08"/>
    <x v="1"/>
    <n v="32"/>
    <x v="0"/>
    <x v="2"/>
    <x v="4"/>
    <n v="4768.0200000000004"/>
    <n v="3"/>
    <n v="14304.060000000001"/>
    <x v="3"/>
    <x v="2"/>
    <n v="1"/>
    <x v="1"/>
    <s v="B01"/>
    <s v="UPI"/>
    <n v="0.05"/>
    <n v="400000"/>
    <n v="50"/>
    <n v="7"/>
    <n v="40"/>
  </r>
  <r>
    <s v="ORD0233"/>
    <s v="2025-11-08"/>
    <x v="4"/>
    <n v="27"/>
    <x v="0"/>
    <x v="5"/>
    <x v="1"/>
    <n v="3861.06"/>
    <n v="1"/>
    <n v="3861.06"/>
    <x v="0"/>
    <x v="8"/>
    <n v="2"/>
    <x v="1"/>
    <s v="SP1"/>
    <s v="COD"/>
    <n v="0.12"/>
    <n v="240000"/>
    <n v="31"/>
    <n v="14"/>
    <n v="30"/>
  </r>
  <r>
    <s v="ORD0234"/>
    <s v="2025-09-22"/>
    <x v="10"/>
    <n v="39"/>
    <x v="0"/>
    <x v="3"/>
    <x v="4"/>
    <n v="2696.36"/>
    <n v="3"/>
    <n v="8089.08"/>
    <x v="0"/>
    <x v="7"/>
    <n v="4"/>
    <x v="0"/>
    <s v="B01"/>
    <s v="COD"/>
    <n v="0.05"/>
    <n v="400000"/>
    <n v="31"/>
    <n v="7"/>
    <n v="40"/>
  </r>
  <r>
    <s v="ORD0235"/>
    <s v="2025-01-03"/>
    <x v="1"/>
    <n v="46"/>
    <x v="0"/>
    <x v="1"/>
    <x v="1"/>
    <n v="2051.0100000000002"/>
    <n v="1"/>
    <n v="2051.0100000000002"/>
    <x v="0"/>
    <x v="5"/>
    <n v="4"/>
    <x v="1"/>
    <s v="SP1"/>
    <s v="COD"/>
    <n v="0.12"/>
    <n v="240000"/>
    <n v="31"/>
    <n v="14"/>
    <n v="30"/>
  </r>
  <r>
    <s v="ORD0236"/>
    <s v="2025-06-29"/>
    <x v="6"/>
    <n v="42"/>
    <x v="0"/>
    <x v="4"/>
    <x v="5"/>
    <n v="4011.36"/>
    <n v="5"/>
    <n v="20056.8"/>
    <x v="3"/>
    <x v="1"/>
    <n v="3"/>
    <x v="1"/>
    <s v="BE1"/>
    <s v="UPI"/>
    <n v="0.14000000000000001"/>
    <n v="300000"/>
    <n v="50"/>
    <n v="12"/>
    <n v="70"/>
  </r>
  <r>
    <s v="ORD0237"/>
    <s v="2025-02-05"/>
    <x v="9"/>
    <n v="34"/>
    <x v="0"/>
    <x v="3"/>
    <x v="3"/>
    <n v="253.66"/>
    <n v="4"/>
    <n v="1014.64"/>
    <x v="1"/>
    <x v="1"/>
    <n v="1"/>
    <x v="1"/>
    <s v="EL1"/>
    <s v="NB"/>
    <n v="0.18"/>
    <n v="450000"/>
    <n v="50"/>
    <n v="15"/>
    <n v="50"/>
  </r>
  <r>
    <s v="ORD0238"/>
    <s v="2026-01-01"/>
    <x v="1"/>
    <n v="35"/>
    <x v="0"/>
    <x v="2"/>
    <x v="4"/>
    <n v="844.24"/>
    <n v="2"/>
    <n v="1688.48"/>
    <x v="2"/>
    <x v="6"/>
    <n v="5"/>
    <x v="1"/>
    <s v="B01"/>
    <s v="CC"/>
    <n v="0.05"/>
    <n v="400000"/>
    <n v="80"/>
    <n v="7"/>
    <n v="40"/>
  </r>
  <r>
    <s v="ORD0239"/>
    <s v="2025-08-11"/>
    <x v="2"/>
    <n v="43"/>
    <x v="0"/>
    <x v="1"/>
    <x v="1"/>
    <n v="787.3"/>
    <n v="1"/>
    <n v="787.3"/>
    <x v="3"/>
    <x v="4"/>
    <n v="2"/>
    <x v="1"/>
    <s v="SP1"/>
    <s v="UPI"/>
    <n v="0.12"/>
    <n v="240000"/>
    <n v="50"/>
    <n v="14"/>
    <n v="30"/>
  </r>
  <r>
    <s v="ORD0240"/>
    <s v="2025-05-10"/>
    <x v="7"/>
    <n v="47"/>
    <x v="0"/>
    <x v="3"/>
    <x v="1"/>
    <n v="1553.51"/>
    <n v="2"/>
    <n v="3107.02"/>
    <x v="2"/>
    <x v="4"/>
    <n v="4"/>
    <x v="1"/>
    <s v="SP1"/>
    <s v="CC"/>
    <n v="0.12"/>
    <n v="240000"/>
    <n v="80"/>
    <n v="14"/>
    <n v="30"/>
  </r>
  <r>
    <s v="ORD0241"/>
    <s v="2025-03-15"/>
    <x v="3"/>
    <n v="29"/>
    <x v="0"/>
    <x v="3"/>
    <x v="4"/>
    <n v="2692.39"/>
    <n v="4"/>
    <n v="10769.56"/>
    <x v="1"/>
    <x v="6"/>
    <n v="3"/>
    <x v="1"/>
    <s v="B01"/>
    <s v="NB"/>
    <n v="0.05"/>
    <n v="400000"/>
    <n v="50"/>
    <n v="7"/>
    <n v="40"/>
  </r>
  <r>
    <s v="ORD0242"/>
    <s v="2025-07-11"/>
    <x v="5"/>
    <n v="41"/>
    <x v="0"/>
    <x v="2"/>
    <x v="5"/>
    <n v="2367.52"/>
    <n v="5"/>
    <n v="11837.6"/>
    <x v="0"/>
    <x v="7"/>
    <n v="3"/>
    <x v="1"/>
    <s v="BE1"/>
    <s v="COD"/>
    <n v="0.14000000000000001"/>
    <n v="300000"/>
    <n v="31"/>
    <n v="12"/>
    <n v="70"/>
  </r>
  <r>
    <s v="ORD0243"/>
    <s v="2025-10-14"/>
    <x v="8"/>
    <n v="38"/>
    <x v="0"/>
    <x v="1"/>
    <x v="0"/>
    <n v="530.11"/>
    <n v="4"/>
    <n v="2120.44"/>
    <x v="4"/>
    <x v="3"/>
    <n v="5"/>
    <x v="0"/>
    <s v="HA1"/>
    <s v="DC"/>
    <n v="0.1"/>
    <n v="560000"/>
    <n v="90"/>
    <n v="13"/>
    <n v="60"/>
  </r>
  <r>
    <s v="ORD0244"/>
    <s v="2025-08-02"/>
    <x v="2"/>
    <n v="40"/>
    <x v="0"/>
    <x v="2"/>
    <x v="2"/>
    <n v="2710.8"/>
    <n v="1"/>
    <n v="2710.8"/>
    <x v="2"/>
    <x v="9"/>
    <n v="2"/>
    <x v="1"/>
    <s v="CO1"/>
    <s v="CC"/>
    <n v="0.12"/>
    <n v="350000"/>
    <n v="80"/>
    <n v="12"/>
    <n v="100"/>
  </r>
  <r>
    <s v="ORD0245"/>
    <s v="2025-06-09"/>
    <x v="6"/>
    <n v="60"/>
    <x v="1"/>
    <x v="1"/>
    <x v="1"/>
    <n v="3305.85"/>
    <n v="1"/>
    <n v="3305.85"/>
    <x v="0"/>
    <x v="8"/>
    <n v="4"/>
    <x v="1"/>
    <s v="SP1"/>
    <s v="COD"/>
    <n v="0.12"/>
    <n v="240000"/>
    <n v="31"/>
    <n v="14"/>
    <n v="30"/>
  </r>
  <r>
    <s v="ORD0246"/>
    <s v="2025-01-05"/>
    <x v="1"/>
    <n v="49"/>
    <x v="0"/>
    <x v="3"/>
    <x v="1"/>
    <n v="3100.32"/>
    <n v="3"/>
    <n v="9300.9600000000009"/>
    <x v="0"/>
    <x v="5"/>
    <n v="1"/>
    <x v="1"/>
    <s v="SP1"/>
    <s v="COD"/>
    <n v="0.12"/>
    <n v="240000"/>
    <n v="31"/>
    <n v="14"/>
    <n v="30"/>
  </r>
  <r>
    <s v="ORD0247"/>
    <s v="2025-03-02"/>
    <x v="3"/>
    <n v="36"/>
    <x v="0"/>
    <x v="1"/>
    <x v="5"/>
    <n v="397.88"/>
    <n v="1"/>
    <n v="397.88"/>
    <x v="1"/>
    <x v="5"/>
    <n v="3"/>
    <x v="1"/>
    <s v="BE1"/>
    <s v="NB"/>
    <n v="0.14000000000000001"/>
    <n v="300000"/>
    <n v="50"/>
    <n v="12"/>
    <n v="70"/>
  </r>
  <r>
    <s v="ORD0248"/>
    <s v="2025-12-22"/>
    <x v="11"/>
    <n v="39"/>
    <x v="0"/>
    <x v="0"/>
    <x v="3"/>
    <n v="4597.71"/>
    <n v="2"/>
    <n v="9195.42"/>
    <x v="2"/>
    <x v="3"/>
    <n v="1"/>
    <x v="1"/>
    <s v="EL1"/>
    <s v="CC"/>
    <n v="0.18"/>
    <n v="450000"/>
    <n v="80"/>
    <n v="15"/>
    <n v="50"/>
  </r>
  <r>
    <s v="ORD0249"/>
    <s v="2025-05-17"/>
    <x v="7"/>
    <n v="57"/>
    <x v="1"/>
    <x v="2"/>
    <x v="2"/>
    <n v="4512.43"/>
    <n v="2"/>
    <n v="9024.86"/>
    <x v="3"/>
    <x v="9"/>
    <n v="3"/>
    <x v="1"/>
    <s v="CO1"/>
    <s v="UPI"/>
    <n v="0.12"/>
    <n v="350000"/>
    <n v="50"/>
    <n v="12"/>
    <n v="100"/>
  </r>
  <r>
    <s v="ORD0250"/>
    <s v="2025-10-08"/>
    <x v="8"/>
    <n v="51"/>
    <x v="1"/>
    <x v="3"/>
    <x v="2"/>
    <n v="2654.38"/>
    <n v="5"/>
    <n v="13271.900000000001"/>
    <x v="0"/>
    <x v="2"/>
    <n v="1"/>
    <x v="1"/>
    <s v="CO1"/>
    <s v="COD"/>
    <n v="0.12"/>
    <n v="350000"/>
    <n v="31"/>
    <n v="12"/>
    <n v="100"/>
  </r>
  <r>
    <s v="ORD0251"/>
    <s v="2025-12-23"/>
    <x v="11"/>
    <n v="43"/>
    <x v="0"/>
    <x v="1"/>
    <x v="4"/>
    <n v="3470.39"/>
    <n v="4"/>
    <n v="13881.56"/>
    <x v="3"/>
    <x v="4"/>
    <n v="3"/>
    <x v="1"/>
    <s v="B01"/>
    <s v="UPI"/>
    <n v="0.05"/>
    <n v="400000"/>
    <n v="50"/>
    <n v="7"/>
    <n v="40"/>
  </r>
  <r>
    <s v="ORD0252"/>
    <s v="2025-12-12"/>
    <x v="11"/>
    <n v="31"/>
    <x v="0"/>
    <x v="4"/>
    <x v="3"/>
    <n v="3464.58"/>
    <n v="1"/>
    <n v="3464.58"/>
    <x v="1"/>
    <x v="9"/>
    <n v="1"/>
    <x v="1"/>
    <s v="EL1"/>
    <s v="NB"/>
    <n v="0.18"/>
    <n v="450000"/>
    <n v="50"/>
    <n v="15"/>
    <n v="50"/>
  </r>
  <r>
    <s v="ORD0253"/>
    <s v="2025-04-11"/>
    <x v="0"/>
    <n v="30"/>
    <x v="0"/>
    <x v="1"/>
    <x v="2"/>
    <n v="1796.34"/>
    <n v="4"/>
    <n v="7185.36"/>
    <x v="1"/>
    <x v="4"/>
    <n v="1"/>
    <x v="1"/>
    <s v="CO1"/>
    <s v="NB"/>
    <n v="0.12"/>
    <n v="350000"/>
    <n v="50"/>
    <n v="12"/>
    <n v="100"/>
  </r>
  <r>
    <s v="ORD0254"/>
    <s v="2025-11-12"/>
    <x v="4"/>
    <n v="37"/>
    <x v="0"/>
    <x v="4"/>
    <x v="1"/>
    <n v="3711.88"/>
    <n v="2"/>
    <n v="7423.76"/>
    <x v="1"/>
    <x v="2"/>
    <n v="3"/>
    <x v="1"/>
    <s v="SP1"/>
    <s v="NB"/>
    <n v="0.12"/>
    <n v="240000"/>
    <n v="50"/>
    <n v="14"/>
    <n v="30"/>
  </r>
  <r>
    <s v="ORD0255"/>
    <s v="2025-10-25"/>
    <x v="8"/>
    <n v="28"/>
    <x v="0"/>
    <x v="5"/>
    <x v="1"/>
    <n v="3305.92"/>
    <n v="5"/>
    <n v="16529.599999999999"/>
    <x v="4"/>
    <x v="8"/>
    <n v="3"/>
    <x v="1"/>
    <s v="SP1"/>
    <s v="DC"/>
    <n v="0.12"/>
    <n v="240000"/>
    <n v="90"/>
    <n v="14"/>
    <n v="30"/>
  </r>
  <r>
    <s v="ORD0256"/>
    <s v="2025-03-14"/>
    <x v="3"/>
    <n v="37"/>
    <x v="0"/>
    <x v="2"/>
    <x v="3"/>
    <n v="3869.02"/>
    <n v="2"/>
    <n v="7738.04"/>
    <x v="1"/>
    <x v="4"/>
    <n v="4"/>
    <x v="1"/>
    <s v="EL1"/>
    <s v="NB"/>
    <n v="0.18"/>
    <n v="450000"/>
    <n v="50"/>
    <n v="15"/>
    <n v="50"/>
  </r>
  <r>
    <s v="ORD0257"/>
    <s v="2025-05-24"/>
    <x v="7"/>
    <n v="41"/>
    <x v="0"/>
    <x v="1"/>
    <x v="1"/>
    <n v="1047.23"/>
    <n v="3"/>
    <n v="3141.69"/>
    <x v="2"/>
    <x v="3"/>
    <n v="4"/>
    <x v="0"/>
    <s v="SP1"/>
    <s v="CC"/>
    <n v="0.12"/>
    <n v="240000"/>
    <n v="80"/>
    <n v="14"/>
    <n v="30"/>
  </r>
  <r>
    <s v="ORD0258"/>
    <s v="2025-12-05"/>
    <x v="11"/>
    <n v="41"/>
    <x v="0"/>
    <x v="4"/>
    <x v="5"/>
    <n v="3339.63"/>
    <n v="2"/>
    <n v="6679.26"/>
    <x v="0"/>
    <x v="3"/>
    <n v="1"/>
    <x v="1"/>
    <s v="BE1"/>
    <s v="COD"/>
    <n v="0.14000000000000001"/>
    <n v="300000"/>
    <n v="31"/>
    <n v="12"/>
    <n v="70"/>
  </r>
  <r>
    <s v="ORD0259"/>
    <s v="2025-07-12"/>
    <x v="5"/>
    <n v="42"/>
    <x v="0"/>
    <x v="3"/>
    <x v="0"/>
    <n v="3662.32"/>
    <n v="4"/>
    <n v="14649.28"/>
    <x v="4"/>
    <x v="2"/>
    <n v="2"/>
    <x v="1"/>
    <s v="HA1"/>
    <s v="DC"/>
    <n v="0.1"/>
    <n v="560000"/>
    <n v="90"/>
    <n v="13"/>
    <n v="60"/>
  </r>
  <r>
    <s v="ORD0260"/>
    <s v="2025-09-03"/>
    <x v="10"/>
    <n v="19"/>
    <x v="2"/>
    <x v="1"/>
    <x v="4"/>
    <n v="4304.53"/>
    <n v="4"/>
    <n v="17218.12"/>
    <x v="2"/>
    <x v="3"/>
    <n v="1"/>
    <x v="1"/>
    <s v="B01"/>
    <s v="CC"/>
    <n v="0.05"/>
    <n v="400000"/>
    <n v="80"/>
    <n v="7"/>
    <n v="40"/>
  </r>
  <r>
    <s v="ORD0261"/>
    <s v="2025-02-27"/>
    <x v="9"/>
    <n v="50"/>
    <x v="0"/>
    <x v="1"/>
    <x v="1"/>
    <n v="3618.54"/>
    <n v="4"/>
    <n v="14474.16"/>
    <x v="3"/>
    <x v="0"/>
    <n v="1"/>
    <x v="1"/>
    <s v="SP1"/>
    <s v="UPI"/>
    <n v="0.12"/>
    <n v="240000"/>
    <n v="50"/>
    <n v="14"/>
    <n v="30"/>
  </r>
  <r>
    <s v="ORD0262"/>
    <s v="2025-09-25"/>
    <x v="10"/>
    <n v="37"/>
    <x v="0"/>
    <x v="1"/>
    <x v="4"/>
    <n v="320.44"/>
    <n v="2"/>
    <n v="640.88"/>
    <x v="3"/>
    <x v="6"/>
    <n v="4"/>
    <x v="1"/>
    <s v="B01"/>
    <s v="UPI"/>
    <n v="0.05"/>
    <n v="400000"/>
    <n v="50"/>
    <n v="7"/>
    <n v="40"/>
  </r>
  <r>
    <s v="ORD0263"/>
    <s v="2025-10-11"/>
    <x v="8"/>
    <n v="59"/>
    <x v="1"/>
    <x v="3"/>
    <x v="1"/>
    <n v="4981.6099999999997"/>
    <n v="5"/>
    <n v="24908.05"/>
    <x v="0"/>
    <x v="4"/>
    <n v="2"/>
    <x v="1"/>
    <s v="SP1"/>
    <s v="COD"/>
    <n v="0.12"/>
    <n v="240000"/>
    <n v="31"/>
    <n v="14"/>
    <n v="30"/>
  </r>
  <r>
    <s v="ORD0264"/>
    <s v="2025-02-11"/>
    <x v="9"/>
    <n v="54"/>
    <x v="1"/>
    <x v="1"/>
    <x v="3"/>
    <n v="3810.29"/>
    <n v="2"/>
    <n v="7620.58"/>
    <x v="3"/>
    <x v="5"/>
    <n v="5"/>
    <x v="1"/>
    <s v="EL1"/>
    <s v="UPI"/>
    <n v="0.18"/>
    <n v="450000"/>
    <n v="50"/>
    <n v="15"/>
    <n v="50"/>
  </r>
  <r>
    <s v="ORD0265"/>
    <s v="2025-09-14"/>
    <x v="10"/>
    <n v="32"/>
    <x v="0"/>
    <x v="3"/>
    <x v="3"/>
    <n v="1098.8900000000001"/>
    <n v="4"/>
    <n v="4395.5600000000004"/>
    <x v="3"/>
    <x v="3"/>
    <n v="5"/>
    <x v="0"/>
    <s v="EL1"/>
    <s v="UPI"/>
    <n v="0.18"/>
    <n v="450000"/>
    <n v="50"/>
    <n v="15"/>
    <n v="50"/>
  </r>
  <r>
    <s v="ORD0266"/>
    <s v="2025-04-09"/>
    <x v="0"/>
    <n v="19"/>
    <x v="2"/>
    <x v="4"/>
    <x v="5"/>
    <n v="4712.2299999999996"/>
    <n v="3"/>
    <n v="14136.689999999999"/>
    <x v="2"/>
    <x v="0"/>
    <n v="2"/>
    <x v="1"/>
    <s v="BE1"/>
    <s v="CC"/>
    <n v="0.14000000000000001"/>
    <n v="300000"/>
    <n v="80"/>
    <n v="12"/>
    <n v="70"/>
  </r>
  <r>
    <s v="ORD0267"/>
    <s v="2025-10-21"/>
    <x v="8"/>
    <n v="57"/>
    <x v="1"/>
    <x v="5"/>
    <x v="2"/>
    <n v="3035.49"/>
    <n v="1"/>
    <n v="3035.49"/>
    <x v="4"/>
    <x v="8"/>
    <n v="2"/>
    <x v="1"/>
    <s v="CO1"/>
    <s v="DC"/>
    <n v="0.12"/>
    <n v="350000"/>
    <n v="90"/>
    <n v="12"/>
    <n v="100"/>
  </r>
  <r>
    <s v="ORD0268"/>
    <s v="2025-07-17"/>
    <x v="5"/>
    <n v="48"/>
    <x v="0"/>
    <x v="1"/>
    <x v="5"/>
    <n v="324.32"/>
    <n v="3"/>
    <n v="972.96"/>
    <x v="1"/>
    <x v="6"/>
    <n v="2"/>
    <x v="1"/>
    <s v="BE1"/>
    <s v="NB"/>
    <n v="0.14000000000000001"/>
    <n v="300000"/>
    <n v="50"/>
    <n v="12"/>
    <n v="70"/>
  </r>
  <r>
    <s v="ORD0269"/>
    <s v="2025-06-18"/>
    <x v="6"/>
    <n v="26"/>
    <x v="0"/>
    <x v="1"/>
    <x v="1"/>
    <n v="2392.4699999999998"/>
    <n v="1"/>
    <n v="2392.4699999999998"/>
    <x v="4"/>
    <x v="4"/>
    <n v="4"/>
    <x v="1"/>
    <s v="SP1"/>
    <s v="DC"/>
    <n v="0.12"/>
    <n v="240000"/>
    <n v="90"/>
    <n v="14"/>
    <n v="30"/>
  </r>
  <r>
    <s v="ORD0270"/>
    <s v="2025-03-06"/>
    <x v="3"/>
    <n v="24"/>
    <x v="0"/>
    <x v="3"/>
    <x v="0"/>
    <n v="1821.85"/>
    <n v="2"/>
    <n v="3643.7"/>
    <x v="2"/>
    <x v="1"/>
    <n v="4"/>
    <x v="1"/>
    <s v="HA1"/>
    <s v="CC"/>
    <n v="0.1"/>
    <n v="560000"/>
    <n v="80"/>
    <n v="13"/>
    <n v="60"/>
  </r>
  <r>
    <s v="ORD0271"/>
    <s v="2025-12-21"/>
    <x v="11"/>
    <n v="29"/>
    <x v="0"/>
    <x v="5"/>
    <x v="5"/>
    <n v="459.52"/>
    <n v="3"/>
    <n v="1378.56"/>
    <x v="2"/>
    <x v="7"/>
    <n v="5"/>
    <x v="0"/>
    <s v="BE1"/>
    <s v="CC"/>
    <n v="0.14000000000000001"/>
    <n v="300000"/>
    <n v="80"/>
    <n v="12"/>
    <n v="70"/>
  </r>
  <r>
    <s v="ORD0272"/>
    <s v="2025-12-06"/>
    <x v="11"/>
    <n v="43"/>
    <x v="0"/>
    <x v="1"/>
    <x v="1"/>
    <n v="368.87"/>
    <n v="4"/>
    <n v="1475.48"/>
    <x v="0"/>
    <x v="9"/>
    <n v="1"/>
    <x v="1"/>
    <s v="SP1"/>
    <s v="COD"/>
    <n v="0.12"/>
    <n v="240000"/>
    <n v="31"/>
    <n v="14"/>
    <n v="30"/>
  </r>
  <r>
    <s v="ORD0273"/>
    <s v="2025-06-15"/>
    <x v="6"/>
    <n v="18"/>
    <x v="2"/>
    <x v="1"/>
    <x v="2"/>
    <n v="4375.1000000000004"/>
    <n v="3"/>
    <n v="13125.300000000001"/>
    <x v="1"/>
    <x v="9"/>
    <n v="3"/>
    <x v="1"/>
    <s v="CO1"/>
    <s v="NB"/>
    <n v="0.12"/>
    <n v="350000"/>
    <n v="50"/>
    <n v="12"/>
    <n v="100"/>
  </r>
  <r>
    <s v="ORD0274"/>
    <s v="2025-10-30"/>
    <x v="8"/>
    <n v="50"/>
    <x v="0"/>
    <x v="2"/>
    <x v="2"/>
    <n v="2750"/>
    <n v="3"/>
    <n v="8250"/>
    <x v="2"/>
    <x v="7"/>
    <n v="1"/>
    <x v="1"/>
    <s v="CO1"/>
    <s v="CC"/>
    <n v="0.12"/>
    <n v="350000"/>
    <n v="80"/>
    <n v="12"/>
    <n v="100"/>
  </r>
  <r>
    <s v="ORD0275"/>
    <s v="2025-09-07"/>
    <x v="10"/>
    <n v="48"/>
    <x v="0"/>
    <x v="2"/>
    <x v="1"/>
    <n v="1773.66"/>
    <n v="5"/>
    <n v="8868.3000000000011"/>
    <x v="2"/>
    <x v="9"/>
    <n v="2"/>
    <x v="1"/>
    <s v="SP1"/>
    <s v="CC"/>
    <n v="0.12"/>
    <n v="240000"/>
    <n v="80"/>
    <n v="14"/>
    <n v="30"/>
  </r>
  <r>
    <s v="ORD0276"/>
    <s v="2025-06-20"/>
    <x v="6"/>
    <n v="45"/>
    <x v="0"/>
    <x v="4"/>
    <x v="0"/>
    <n v="2434.5300000000002"/>
    <n v="3"/>
    <n v="7303.59"/>
    <x v="3"/>
    <x v="4"/>
    <n v="4"/>
    <x v="0"/>
    <s v="HA1"/>
    <s v="UPI"/>
    <n v="0.1"/>
    <n v="560000"/>
    <n v="50"/>
    <n v="13"/>
    <n v="60"/>
  </r>
  <r>
    <s v="ORD0277"/>
    <s v="2025-11-21"/>
    <x v="4"/>
    <n v="20"/>
    <x v="2"/>
    <x v="3"/>
    <x v="0"/>
    <n v="940.15"/>
    <n v="3"/>
    <n v="2820.45"/>
    <x v="4"/>
    <x v="4"/>
    <n v="3"/>
    <x v="1"/>
    <s v="HA1"/>
    <s v="DC"/>
    <n v="0.1"/>
    <n v="560000"/>
    <n v="90"/>
    <n v="13"/>
    <n v="60"/>
  </r>
  <r>
    <s v="ORD0278"/>
    <s v="2025-06-30"/>
    <x v="6"/>
    <n v="42"/>
    <x v="0"/>
    <x v="5"/>
    <x v="0"/>
    <n v="1342.47"/>
    <n v="1"/>
    <n v="1342.47"/>
    <x v="3"/>
    <x v="0"/>
    <n v="5"/>
    <x v="1"/>
    <s v="HA1"/>
    <s v="UPI"/>
    <n v="0.1"/>
    <n v="560000"/>
    <n v="50"/>
    <n v="13"/>
    <n v="60"/>
  </r>
  <r>
    <s v="ORD0279"/>
    <s v="2025-12-08"/>
    <x v="11"/>
    <n v="60"/>
    <x v="1"/>
    <x v="4"/>
    <x v="1"/>
    <n v="4399.2299999999996"/>
    <n v="1"/>
    <n v="4399.2299999999996"/>
    <x v="4"/>
    <x v="4"/>
    <n v="1"/>
    <x v="1"/>
    <s v="SP1"/>
    <s v="DC"/>
    <n v="0.12"/>
    <n v="240000"/>
    <n v="90"/>
    <n v="14"/>
    <n v="30"/>
  </r>
  <r>
    <s v="ORD0280"/>
    <s v="2025-06-24"/>
    <x v="6"/>
    <n v="56"/>
    <x v="1"/>
    <x v="1"/>
    <x v="4"/>
    <n v="3583.52"/>
    <n v="4"/>
    <n v="14334.08"/>
    <x v="2"/>
    <x v="7"/>
    <n v="4"/>
    <x v="0"/>
    <s v="B01"/>
    <s v="CC"/>
    <n v="0.05"/>
    <n v="400000"/>
    <n v="80"/>
    <n v="7"/>
    <n v="40"/>
  </r>
  <r>
    <s v="ORD0281"/>
    <s v="2025-07-09"/>
    <x v="5"/>
    <n v="40"/>
    <x v="0"/>
    <x v="2"/>
    <x v="1"/>
    <n v="3643.09"/>
    <n v="4"/>
    <n v="14572.36"/>
    <x v="0"/>
    <x v="9"/>
    <n v="1"/>
    <x v="1"/>
    <s v="SP1"/>
    <s v="COD"/>
    <n v="0.12"/>
    <n v="240000"/>
    <n v="31"/>
    <n v="14"/>
    <n v="30"/>
  </r>
  <r>
    <s v="ORD0282"/>
    <s v="2025-05-18"/>
    <x v="7"/>
    <n v="28"/>
    <x v="0"/>
    <x v="0"/>
    <x v="0"/>
    <n v="3776.14"/>
    <n v="1"/>
    <n v="3776.14"/>
    <x v="3"/>
    <x v="0"/>
    <n v="4"/>
    <x v="1"/>
    <s v="HA1"/>
    <s v="UPI"/>
    <n v="0.1"/>
    <n v="560000"/>
    <n v="50"/>
    <n v="13"/>
    <n v="60"/>
  </r>
  <r>
    <s v="ORD0283"/>
    <s v="2025-03-26"/>
    <x v="3"/>
    <n v="36"/>
    <x v="0"/>
    <x v="2"/>
    <x v="0"/>
    <n v="1509.4"/>
    <n v="4"/>
    <n v="6037.6"/>
    <x v="1"/>
    <x v="5"/>
    <n v="5"/>
    <x v="0"/>
    <s v="HA1"/>
    <s v="NB"/>
    <n v="0.1"/>
    <n v="560000"/>
    <n v="50"/>
    <n v="13"/>
    <n v="60"/>
  </r>
  <r>
    <s v="ORD0284"/>
    <s v="2025-04-04"/>
    <x v="0"/>
    <n v="52"/>
    <x v="1"/>
    <x v="3"/>
    <x v="0"/>
    <n v="2077.15"/>
    <n v="3"/>
    <n v="6231.4500000000007"/>
    <x v="3"/>
    <x v="4"/>
    <n v="5"/>
    <x v="0"/>
    <s v="HA1"/>
    <s v="UPI"/>
    <n v="0.1"/>
    <n v="560000"/>
    <n v="50"/>
    <n v="13"/>
    <n v="60"/>
  </r>
  <r>
    <s v="ORD0285"/>
    <s v="2025-02-24"/>
    <x v="9"/>
    <n v="22"/>
    <x v="0"/>
    <x v="4"/>
    <x v="3"/>
    <n v="2115.89"/>
    <n v="5"/>
    <n v="10579.449999999999"/>
    <x v="0"/>
    <x v="0"/>
    <n v="1"/>
    <x v="1"/>
    <s v="EL1"/>
    <s v="COD"/>
    <n v="0.18"/>
    <n v="450000"/>
    <n v="31"/>
    <n v="15"/>
    <n v="50"/>
  </r>
  <r>
    <s v="ORD0286"/>
    <s v="2025-07-02"/>
    <x v="5"/>
    <n v="39"/>
    <x v="0"/>
    <x v="1"/>
    <x v="1"/>
    <n v="4130.76"/>
    <n v="5"/>
    <n v="20653.800000000003"/>
    <x v="3"/>
    <x v="7"/>
    <n v="5"/>
    <x v="0"/>
    <s v="SP1"/>
    <s v="UPI"/>
    <n v="0.12"/>
    <n v="240000"/>
    <n v="50"/>
    <n v="14"/>
    <n v="30"/>
  </r>
  <r>
    <s v="ORD0287"/>
    <s v="2025-04-07"/>
    <x v="0"/>
    <n v="22"/>
    <x v="0"/>
    <x v="4"/>
    <x v="5"/>
    <n v="1176.54"/>
    <n v="3"/>
    <n v="3529.62"/>
    <x v="4"/>
    <x v="3"/>
    <n v="1"/>
    <x v="1"/>
    <s v="BE1"/>
    <s v="DC"/>
    <n v="0.14000000000000001"/>
    <n v="300000"/>
    <n v="90"/>
    <n v="12"/>
    <n v="70"/>
  </r>
  <r>
    <s v="ORD0288"/>
    <s v="2025-01-17"/>
    <x v="1"/>
    <n v="19"/>
    <x v="2"/>
    <x v="2"/>
    <x v="3"/>
    <n v="4906.8100000000004"/>
    <n v="5"/>
    <n v="24534.050000000003"/>
    <x v="1"/>
    <x v="4"/>
    <n v="3"/>
    <x v="1"/>
    <s v="EL1"/>
    <s v="NB"/>
    <n v="0.18"/>
    <n v="450000"/>
    <n v="50"/>
    <n v="15"/>
    <n v="50"/>
  </r>
  <r>
    <s v="ORD0289"/>
    <s v="2025-09-26"/>
    <x v="10"/>
    <n v="28"/>
    <x v="0"/>
    <x v="3"/>
    <x v="5"/>
    <n v="3501.63"/>
    <n v="3"/>
    <n v="10504.89"/>
    <x v="2"/>
    <x v="4"/>
    <n v="3"/>
    <x v="1"/>
    <s v="BE1"/>
    <s v="CC"/>
    <n v="0.14000000000000001"/>
    <n v="300000"/>
    <n v="80"/>
    <n v="12"/>
    <n v="70"/>
  </r>
  <r>
    <s v="ORD0290"/>
    <s v="2025-10-29"/>
    <x v="8"/>
    <n v="42"/>
    <x v="0"/>
    <x v="0"/>
    <x v="1"/>
    <n v="4458.7"/>
    <n v="5"/>
    <n v="22293.5"/>
    <x v="0"/>
    <x v="6"/>
    <n v="5"/>
    <x v="0"/>
    <s v="SP1"/>
    <s v="COD"/>
    <n v="0.12"/>
    <n v="240000"/>
    <n v="31"/>
    <n v="14"/>
    <n v="30"/>
  </r>
  <r>
    <s v="ORD0291"/>
    <s v="2025-01-21"/>
    <x v="1"/>
    <n v="46"/>
    <x v="0"/>
    <x v="0"/>
    <x v="4"/>
    <n v="1349.09"/>
    <n v="4"/>
    <n v="5396.36"/>
    <x v="1"/>
    <x v="8"/>
    <n v="3"/>
    <x v="1"/>
    <s v="B01"/>
    <s v="NB"/>
    <n v="0.05"/>
    <n v="400000"/>
    <n v="50"/>
    <n v="7"/>
    <n v="40"/>
  </r>
  <r>
    <s v="ORD0292"/>
    <s v="2025-06-18"/>
    <x v="6"/>
    <n v="25"/>
    <x v="0"/>
    <x v="1"/>
    <x v="2"/>
    <n v="3098"/>
    <n v="3"/>
    <n v="9294"/>
    <x v="2"/>
    <x v="7"/>
    <n v="4"/>
    <x v="0"/>
    <s v="CO1"/>
    <s v="CC"/>
    <n v="0.12"/>
    <n v="350000"/>
    <n v="80"/>
    <n v="12"/>
    <n v="100"/>
  </r>
  <r>
    <s v="ORD0293"/>
    <s v="2025-08-15"/>
    <x v="2"/>
    <n v="20"/>
    <x v="2"/>
    <x v="2"/>
    <x v="2"/>
    <n v="1013.6"/>
    <n v="5"/>
    <n v="5068"/>
    <x v="3"/>
    <x v="3"/>
    <n v="4"/>
    <x v="0"/>
    <s v="CO1"/>
    <s v="UPI"/>
    <n v="0.12"/>
    <n v="350000"/>
    <n v="50"/>
    <n v="12"/>
    <n v="100"/>
  </r>
  <r>
    <s v="ORD0294"/>
    <s v="2025-09-18"/>
    <x v="10"/>
    <n v="52"/>
    <x v="1"/>
    <x v="1"/>
    <x v="2"/>
    <n v="1860.67"/>
    <n v="1"/>
    <n v="1860.67"/>
    <x v="1"/>
    <x v="4"/>
    <n v="2"/>
    <x v="1"/>
    <s v="CO1"/>
    <s v="NB"/>
    <n v="0.12"/>
    <n v="350000"/>
    <n v="50"/>
    <n v="12"/>
    <n v="100"/>
  </r>
  <r>
    <s v="ORD0295"/>
    <s v="2025-07-20"/>
    <x v="5"/>
    <n v="51"/>
    <x v="1"/>
    <x v="1"/>
    <x v="2"/>
    <n v="2340.4499999999998"/>
    <n v="1"/>
    <n v="2340.4499999999998"/>
    <x v="4"/>
    <x v="7"/>
    <n v="1"/>
    <x v="1"/>
    <s v="CO1"/>
    <s v="DC"/>
    <n v="0.12"/>
    <n v="350000"/>
    <n v="90"/>
    <n v="12"/>
    <n v="100"/>
  </r>
  <r>
    <s v="ORD0296"/>
    <s v="2025-01-05"/>
    <x v="1"/>
    <n v="19"/>
    <x v="2"/>
    <x v="3"/>
    <x v="2"/>
    <n v="611"/>
    <n v="4"/>
    <n v="2444"/>
    <x v="4"/>
    <x v="4"/>
    <n v="1"/>
    <x v="1"/>
    <s v="CO1"/>
    <s v="DC"/>
    <n v="0.12"/>
    <n v="350000"/>
    <n v="90"/>
    <n v="12"/>
    <n v="100"/>
  </r>
  <r>
    <s v="ORD0297"/>
    <s v="2025-10-26"/>
    <x v="8"/>
    <n v="59"/>
    <x v="1"/>
    <x v="4"/>
    <x v="2"/>
    <n v="3195.33"/>
    <n v="2"/>
    <n v="6390.66"/>
    <x v="3"/>
    <x v="9"/>
    <n v="5"/>
    <x v="1"/>
    <s v="CO1"/>
    <s v="UPI"/>
    <n v="0.12"/>
    <n v="350000"/>
    <n v="50"/>
    <n v="12"/>
    <n v="100"/>
  </r>
  <r>
    <s v="ORD0298"/>
    <s v="2025-09-24"/>
    <x v="10"/>
    <n v="32"/>
    <x v="0"/>
    <x v="4"/>
    <x v="1"/>
    <n v="1326.17"/>
    <n v="2"/>
    <n v="2652.34"/>
    <x v="4"/>
    <x v="8"/>
    <n v="1"/>
    <x v="1"/>
    <s v="SP1"/>
    <s v="DC"/>
    <n v="0.12"/>
    <n v="240000"/>
    <n v="90"/>
    <n v="14"/>
    <n v="30"/>
  </r>
  <r>
    <s v="ORD0299"/>
    <s v="2025-02-23"/>
    <x v="9"/>
    <n v="29"/>
    <x v="0"/>
    <x v="0"/>
    <x v="4"/>
    <n v="669.22"/>
    <n v="1"/>
    <n v="669.22"/>
    <x v="0"/>
    <x v="0"/>
    <n v="5"/>
    <x v="1"/>
    <s v="B01"/>
    <s v="COD"/>
    <n v="0.05"/>
    <n v="400000"/>
    <n v="31"/>
    <n v="7"/>
    <n v="40"/>
  </r>
  <r>
    <s v="ORD0300"/>
    <s v="2025-05-06"/>
    <x v="7"/>
    <n v="44"/>
    <x v="0"/>
    <x v="0"/>
    <x v="1"/>
    <n v="3674.04"/>
    <n v="5"/>
    <n v="18370.2"/>
    <x v="1"/>
    <x v="4"/>
    <n v="4"/>
    <x v="0"/>
    <s v="SP1"/>
    <s v="NB"/>
    <n v="0.12"/>
    <n v="240000"/>
    <n v="50"/>
    <n v="14"/>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E152B1-4FA9-423A-9AFE-61B61F37A1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21">
    <pivotField showAll="0"/>
    <pivotField showAll="0"/>
    <pivotField showAll="0"/>
    <pivotField showAll="0"/>
    <pivotField showAll="0"/>
    <pivotField showAll="0">
      <items count="7">
        <item x="0"/>
        <item x="5"/>
        <item x="4"/>
        <item x="1"/>
        <item x="3"/>
        <item x="2"/>
        <item t="default"/>
      </items>
    </pivotField>
    <pivotField axis="axisRow" showAll="0" sortType="descending">
      <items count="7">
        <item x="5"/>
        <item x="4"/>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0"/>
        <item x="2"/>
        <item x="4"/>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7">
    <i>
      <x v="5"/>
    </i>
    <i>
      <x v="2"/>
    </i>
    <i>
      <x v="1"/>
    </i>
    <i>
      <x/>
    </i>
    <i>
      <x v="3"/>
    </i>
    <i>
      <x v="4"/>
    </i>
    <i t="grand">
      <x/>
    </i>
  </rowItems>
  <colItems count="1">
    <i/>
  </colItems>
  <dataFields count="1">
    <dataField name="Sum of total amount" fld="9" showDataAs="percentOfTotal" baseField="0" baseItem="0" numFmtId="1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2DA5DC-D235-4434-9332-1F591CF90E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8:C31" firstHeaderRow="1" firstDataRow="1" firstDataCol="1"/>
  <pivotFields count="21">
    <pivotField showAll="0"/>
    <pivotField showAll="0"/>
    <pivotField axis="axisRow" showAll="0">
      <items count="13">
        <item x="1"/>
        <item x="9"/>
        <item x="3"/>
        <item x="0"/>
        <item x="7"/>
        <item x="6"/>
        <item x="5"/>
        <item x="2"/>
        <item x="10"/>
        <item x="8"/>
        <item x="4"/>
        <item x="11"/>
        <item t="default"/>
      </items>
    </pivotField>
    <pivotField showAll="0"/>
    <pivotField showAll="0"/>
    <pivotField showAll="0">
      <items count="7">
        <item x="0"/>
        <item x="5"/>
        <item x="4"/>
        <item x="1"/>
        <item x="3"/>
        <item x="2"/>
        <item t="default"/>
      </items>
    </pivotField>
    <pivotField showAll="0">
      <items count="7">
        <item x="5"/>
        <item x="4"/>
        <item x="2"/>
        <item x="3"/>
        <item x="0"/>
        <item x="1"/>
        <item t="default"/>
      </items>
    </pivotField>
    <pivotField showAll="0"/>
    <pivotField showAll="0"/>
    <pivotField dataField="1" showAll="0"/>
    <pivotField showAll="0">
      <items count="6">
        <item x="0"/>
        <item x="2"/>
        <item x="4"/>
        <item x="1"/>
        <item x="3"/>
        <item t="default"/>
      </items>
    </pivotField>
    <pivotField showAll="0">
      <items count="11">
        <item x="7"/>
        <item x="5"/>
        <item x="6"/>
        <item x="1"/>
        <item x="2"/>
        <item x="8"/>
        <item x="9"/>
        <item x="4"/>
        <item x="0"/>
        <item x="3"/>
        <item t="default"/>
      </items>
    </pivotField>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amount" fld="9" baseField="0" baseItem="0"/>
  </dataFields>
  <chartFormats count="18">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2" count="1" selected="0">
            <x v="1"/>
          </reference>
        </references>
      </pivotArea>
    </chartFormat>
    <chartFormat chart="15" format="2">
      <pivotArea type="data" outline="0" fieldPosition="0">
        <references count="2">
          <reference field="4294967294" count="1" selected="0">
            <x v="0"/>
          </reference>
          <reference field="2" count="1" selected="0">
            <x v="3"/>
          </reference>
        </references>
      </pivotArea>
    </chartFormat>
    <chartFormat chart="15" format="3">
      <pivotArea type="data" outline="0" fieldPosition="0">
        <references count="2">
          <reference field="4294967294" count="1" selected="0">
            <x v="0"/>
          </reference>
          <reference field="2" count="1" selected="0">
            <x v="5"/>
          </reference>
        </references>
      </pivotArea>
    </chartFormat>
    <chartFormat chart="15" format="4">
      <pivotArea type="data" outline="0" fieldPosition="0">
        <references count="2">
          <reference field="4294967294" count="1" selected="0">
            <x v="0"/>
          </reference>
          <reference field="2" count="1" selected="0">
            <x v="7"/>
          </reference>
        </references>
      </pivotArea>
    </chartFormat>
    <chartFormat chart="15" format="5">
      <pivotArea type="data" outline="0" fieldPosition="0">
        <references count="2">
          <reference field="4294967294" count="1" selected="0">
            <x v="0"/>
          </reference>
          <reference field="2" count="1" selected="0">
            <x v="1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2" count="1" selected="0">
            <x v="1"/>
          </reference>
        </references>
      </pivotArea>
    </chartFormat>
    <chartFormat chart="18" format="8">
      <pivotArea type="data" outline="0" fieldPosition="0">
        <references count="2">
          <reference field="4294967294" count="1" selected="0">
            <x v="0"/>
          </reference>
          <reference field="2" count="1" selected="0">
            <x v="3"/>
          </reference>
        </references>
      </pivotArea>
    </chartFormat>
    <chartFormat chart="18" format="9">
      <pivotArea type="data" outline="0" fieldPosition="0">
        <references count="2">
          <reference field="4294967294" count="1" selected="0">
            <x v="0"/>
          </reference>
          <reference field="2" count="1" selected="0">
            <x v="5"/>
          </reference>
        </references>
      </pivotArea>
    </chartFormat>
    <chartFormat chart="18" format="10">
      <pivotArea type="data" outline="0" fieldPosition="0">
        <references count="2">
          <reference field="4294967294" count="1" selected="0">
            <x v="0"/>
          </reference>
          <reference field="2" count="1" selected="0">
            <x v="7"/>
          </reference>
        </references>
      </pivotArea>
    </chartFormat>
    <chartFormat chart="18" format="11">
      <pivotArea type="data" outline="0" fieldPosition="0">
        <references count="2">
          <reference field="4294967294" count="1" selected="0">
            <x v="0"/>
          </reference>
          <reference field="2" count="1" selected="0">
            <x v="10"/>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2" count="1" selected="0">
            <x v="1"/>
          </reference>
        </references>
      </pivotArea>
    </chartFormat>
    <chartFormat chart="19" format="14">
      <pivotArea type="data" outline="0" fieldPosition="0">
        <references count="2">
          <reference field="4294967294" count="1" selected="0">
            <x v="0"/>
          </reference>
          <reference field="2" count="1" selected="0">
            <x v="3"/>
          </reference>
        </references>
      </pivotArea>
    </chartFormat>
    <chartFormat chart="19" format="15">
      <pivotArea type="data" outline="0" fieldPosition="0">
        <references count="2">
          <reference field="4294967294" count="1" selected="0">
            <x v="0"/>
          </reference>
          <reference field="2" count="1" selected="0">
            <x v="5"/>
          </reference>
        </references>
      </pivotArea>
    </chartFormat>
    <chartFormat chart="19" format="16">
      <pivotArea type="data" outline="0" fieldPosition="0">
        <references count="2">
          <reference field="4294967294" count="1" selected="0">
            <x v="0"/>
          </reference>
          <reference field="2" count="1" selected="0">
            <x v="7"/>
          </reference>
        </references>
      </pivotArea>
    </chartFormat>
    <chartFormat chart="19" format="17">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54C596-598B-46A3-9554-E83D595EC4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4:E21" firstHeaderRow="1" firstDataRow="1" firstDataCol="1"/>
  <pivotFields count="21">
    <pivotField showAll="0"/>
    <pivotField showAll="0"/>
    <pivotField showAll="0"/>
    <pivotField showAll="0"/>
    <pivotField showAll="0"/>
    <pivotField axis="axisRow" showAll="0">
      <items count="7">
        <item x="0"/>
        <item x="5"/>
        <item x="4"/>
        <item x="1"/>
        <item x="3"/>
        <item x="2"/>
        <item t="default"/>
      </items>
    </pivotField>
    <pivotField showAll="0">
      <items count="7">
        <item x="5"/>
        <item x="4"/>
        <item x="2"/>
        <item x="3"/>
        <item x="0"/>
        <item x="1"/>
        <item t="default"/>
      </items>
    </pivotField>
    <pivotField showAll="0"/>
    <pivotField showAll="0"/>
    <pivotField dataField="1" showAll="0"/>
    <pivotField showAll="0">
      <items count="6">
        <item x="0"/>
        <item x="2"/>
        <item x="4"/>
        <item x="1"/>
        <item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amount" fld="9"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43D6CB-0BB3-4741-90BE-3B5F3C99C26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1">
    <pivotField showAll="0"/>
    <pivotField showAll="0"/>
    <pivotField showAll="0"/>
    <pivotField showAll="0"/>
    <pivotField showAll="0"/>
    <pivotField showAll="0">
      <items count="7">
        <item x="0"/>
        <item x="5"/>
        <item x="4"/>
        <item x="1"/>
        <item x="3"/>
        <item x="2"/>
        <item t="default"/>
      </items>
    </pivotField>
    <pivotField showAll="0">
      <items count="7">
        <item x="5"/>
        <item x="4"/>
        <item x="2"/>
        <item x="3"/>
        <item x="0"/>
        <item x="1"/>
        <item t="default"/>
      </items>
    </pivotField>
    <pivotField showAll="0"/>
    <pivotField showAll="0"/>
    <pivotField dataField="1" showAll="0"/>
    <pivotField axis="axisRow" showAll="0">
      <items count="6">
        <item x="0"/>
        <item x="2"/>
        <item x="4"/>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 amount" fld="9"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 chart="3" format="12">
      <pivotArea type="data" outline="0" fieldPosition="0">
        <references count="2">
          <reference field="4294967294" count="1" selected="0">
            <x v="0"/>
          </reference>
          <reference field="10" count="1" selected="0">
            <x v="3"/>
          </reference>
        </references>
      </pivotArea>
    </chartFormat>
    <chartFormat chart="3" format="13">
      <pivotArea type="data" outline="0" fieldPosition="0">
        <references count="2">
          <reference field="4294967294" count="1" selected="0">
            <x v="0"/>
          </reference>
          <reference field="10" count="1" selected="0">
            <x v="4"/>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0"/>
          </reference>
          <reference field="10" count="1" selected="0">
            <x v="2"/>
          </reference>
        </references>
      </pivotArea>
    </chartFormat>
    <chartFormat chart="0" format="8">
      <pivotArea type="data" outline="0" fieldPosition="0">
        <references count="2">
          <reference field="4294967294" count="1" selected="0">
            <x v="0"/>
          </reference>
          <reference field="10" count="1" selected="0">
            <x v="3"/>
          </reference>
        </references>
      </pivotArea>
    </chartFormat>
    <chartFormat chart="0" format="9">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F4394F-56C4-4B89-8386-E836848EAC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21">
    <pivotField showAll="0"/>
    <pivotField showAll="0"/>
    <pivotField showAll="0"/>
    <pivotField showAll="0"/>
    <pivotField showAll="0"/>
    <pivotField showAll="0">
      <items count="7">
        <item x="0"/>
        <item x="5"/>
        <item x="4"/>
        <item x="1"/>
        <item x="3"/>
        <item x="2"/>
        <item t="default"/>
      </items>
    </pivotField>
    <pivotField showAll="0">
      <items count="7">
        <item x="5"/>
        <item x="4"/>
        <item x="2"/>
        <item x="3"/>
        <item x="0"/>
        <item x="1"/>
        <item t="default"/>
      </items>
    </pivotField>
    <pivotField showAll="0"/>
    <pivotField showAll="0"/>
    <pivotField showAll="0"/>
    <pivotField showAll="0">
      <items count="6">
        <item x="0"/>
        <item x="2"/>
        <item x="4"/>
        <item x="1"/>
        <item x="3"/>
        <item t="default"/>
      </items>
    </pivotField>
    <pivotField axis="axisRow" showAll="0">
      <items count="11">
        <item x="7"/>
        <item x="5"/>
        <item x="6"/>
        <item x="1"/>
        <item x="2"/>
        <item x="8"/>
        <item x="9"/>
        <item x="4"/>
        <item x="0"/>
        <item x="3"/>
        <item t="default"/>
      </items>
    </pivotField>
    <pivotField dataField="1" showAll="0"/>
    <pivotField showAll="0"/>
    <pivotField showAll="0"/>
    <pivotField showAll="0"/>
    <pivotField showAll="0"/>
    <pivotField showAll="0"/>
    <pivotField showAll="0"/>
    <pivotField showAll="0"/>
    <pivotField showAll="0"/>
  </pivotFields>
  <rowFields count="1">
    <field x="11"/>
  </rowFields>
  <rowItems count="11">
    <i>
      <x/>
    </i>
    <i>
      <x v="1"/>
    </i>
    <i>
      <x v="2"/>
    </i>
    <i>
      <x v="3"/>
    </i>
    <i>
      <x v="4"/>
    </i>
    <i>
      <x v="5"/>
    </i>
    <i>
      <x v="6"/>
    </i>
    <i>
      <x v="7"/>
    </i>
    <i>
      <x v="8"/>
    </i>
    <i>
      <x v="9"/>
    </i>
    <i t="grand">
      <x/>
    </i>
  </rowItems>
  <colItems count="1">
    <i/>
  </colItems>
  <dataFields count="1">
    <dataField name="Average of Customer_Rating" fld="12" subtotal="average" baseField="1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C777EB-5589-4F4F-945B-D0CEC72FCC7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21">
    <pivotField showAll="0"/>
    <pivotField showAll="0"/>
    <pivotField showAll="0"/>
    <pivotField showAll="0"/>
    <pivotField showAll="0"/>
    <pivotField showAll="0"/>
    <pivotField axis="axisRow" showAll="0">
      <items count="7">
        <item x="5"/>
        <item x="4"/>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6"/>
  </rowFields>
  <rowItems count="7">
    <i>
      <x/>
    </i>
    <i>
      <x v="1"/>
    </i>
    <i>
      <x v="2"/>
    </i>
    <i>
      <x v="3"/>
    </i>
    <i>
      <x v="4"/>
    </i>
    <i>
      <x v="5"/>
    </i>
    <i t="grand">
      <x/>
    </i>
  </rowItems>
  <colItems count="1">
    <i/>
  </colItems>
  <dataFields count="1">
    <dataField name="Sum of returns%" fld="19"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F72748-B8C9-453D-B8D3-EED86930A1E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Sum of total amount" fld="9"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E3C7DE-76AB-49BB-A7E5-5643666E160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G7" firstHeaderRow="1" firstDataRow="2" firstDataCol="1"/>
  <pivotFields count="21">
    <pivotField showAll="0" defaultSubtotal="0"/>
    <pivotField showAll="0" defaultSubtotal="0"/>
    <pivotField subtotalTop="0" showAll="0" defaultSubtotal="0"/>
    <pivotField showAll="0" defaultSubtotal="0"/>
    <pivotField axis="axisRow" showAll="0" defaultSubtotal="0">
      <items count="3">
        <item x="0"/>
        <item x="1"/>
        <item x="2"/>
      </items>
    </pivotField>
    <pivotField showAll="0" defaultSubtotal="0">
      <items count="6">
        <item x="0"/>
        <item x="5"/>
        <item x="4"/>
        <item x="1"/>
        <item x="3"/>
        <item x="2"/>
      </items>
    </pivotField>
    <pivotField axis="axisCol" showAll="0" defaultSubtotal="0">
      <items count="6">
        <item x="5"/>
        <item x="4"/>
        <item x="2"/>
        <item x="3"/>
        <item x="0"/>
        <item x="1"/>
      </items>
    </pivotField>
    <pivotField showAll="0" defaultSubtotal="0"/>
    <pivotField showAll="0" defaultSubtotal="0"/>
    <pivotField dataField="1" showAll="0" defaultSubtotal="0"/>
    <pivotField showAll="0" defaultSubtotal="0">
      <items count="5">
        <item x="0"/>
        <item x="2"/>
        <item x="4"/>
        <item x="1"/>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4"/>
  </rowFields>
  <rowItems count="3">
    <i>
      <x/>
    </i>
    <i>
      <x v="1"/>
    </i>
    <i>
      <x v="2"/>
    </i>
  </rowItems>
  <colFields count="1">
    <field x="6"/>
  </colFields>
  <colItems count="6">
    <i>
      <x/>
    </i>
    <i>
      <x v="1"/>
    </i>
    <i>
      <x v="2"/>
    </i>
    <i>
      <x v="3"/>
    </i>
    <i>
      <x v="4"/>
    </i>
    <i>
      <x v="5"/>
    </i>
  </colItems>
  <dataFields count="1">
    <dataField name="Sum of total amount" fld="9" baseField="0" baseItem="0"/>
  </dataFields>
  <chartFormats count="14">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3" format="4" series="1">
      <pivotArea type="data" outline="0" fieldPosition="0">
        <references count="2">
          <reference field="4294967294" count="1" selected="0">
            <x v="0"/>
          </reference>
          <reference field="6" count="1" selected="0">
            <x v="4"/>
          </reference>
        </references>
      </pivotArea>
    </chartFormat>
    <chartFormat chart="3" format="5" series="1">
      <pivotArea type="data" outline="0" fieldPosition="0">
        <references count="2">
          <reference field="4294967294" count="1" selected="0">
            <x v="0"/>
          </reference>
          <reference field="6" count="1" selected="0">
            <x v="5"/>
          </reference>
        </references>
      </pivotArea>
    </chartFormat>
    <chartFormat chart="9" format="12" series="1">
      <pivotArea type="data" outline="0" fieldPosition="0">
        <references count="2">
          <reference field="4294967294" count="1" selected="0">
            <x v="0"/>
          </reference>
          <reference field="6" count="1" selected="0">
            <x v="0"/>
          </reference>
        </references>
      </pivotArea>
    </chartFormat>
    <chartFormat chart="9" format="13" series="1">
      <pivotArea type="data" outline="0" fieldPosition="0">
        <references count="2">
          <reference field="4294967294" count="1" selected="0">
            <x v="0"/>
          </reference>
          <reference field="6" count="1" selected="0">
            <x v="1"/>
          </reference>
        </references>
      </pivotArea>
    </chartFormat>
    <chartFormat chart="9" format="14" series="1">
      <pivotArea type="data" outline="0" fieldPosition="0">
        <references count="2">
          <reference field="4294967294" count="1" selected="0">
            <x v="0"/>
          </reference>
          <reference field="6" count="1" selected="0">
            <x v="2"/>
          </reference>
        </references>
      </pivotArea>
    </chartFormat>
    <chartFormat chart="9" format="15" series="1">
      <pivotArea type="data" outline="0" fieldPosition="0">
        <references count="2">
          <reference field="4294967294" count="1" selected="0">
            <x v="0"/>
          </reference>
          <reference field="6" count="1" selected="0">
            <x v="3"/>
          </reference>
        </references>
      </pivotArea>
    </chartFormat>
    <chartFormat chart="9" format="16" series="1">
      <pivotArea type="data" outline="0" fieldPosition="0">
        <references count="2">
          <reference field="4294967294" count="1" selected="0">
            <x v="0"/>
          </reference>
          <reference field="6" count="1" selected="0">
            <x v="4"/>
          </reference>
        </references>
      </pivotArea>
    </chartFormat>
    <chartFormat chart="9" format="17" series="1">
      <pivotArea type="data" outline="0" fieldPosition="0">
        <references count="2">
          <reference field="4294967294" count="1" selected="0">
            <x v="0"/>
          </reference>
          <reference field="6" count="1" selected="0">
            <x v="5"/>
          </reference>
        </references>
      </pivotArea>
    </chartFormat>
    <chartFormat chart="9" format="1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C454FC1-9273-4354-9CF3-5D07CC8C958E}" sourceName="City">
  <pivotTables>
    <pivotTable tabId="6" name="PivotTable1"/>
    <pivotTable tabId="15" name="PivotTable10"/>
    <pivotTable tabId="12" name="PivotTable7"/>
    <pivotTable tabId="11" name="PivotTable6"/>
    <pivotTable tabId="10" name="PivotTable2"/>
    <pivotTable tabId="9" name="PivotTable1"/>
  </pivotTables>
  <data>
    <tabular pivotCacheId="194614913">
      <items count="6">
        <i x="0" s="1"/>
        <i x="5"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B2CB980-0A55-40D2-AB92-572C1406C4C3}" sourceName="Product_Category">
  <pivotTables>
    <pivotTable tabId="6" name="PivotTable1"/>
    <pivotTable tabId="15" name="PivotTable10"/>
    <pivotTable tabId="12" name="PivotTable7"/>
    <pivotTable tabId="11" name="PivotTable6"/>
    <pivotTable tabId="10" name="PivotTable2"/>
    <pivotTable tabId="9" name="PivotTable1"/>
  </pivotTables>
  <data>
    <tabular pivotCacheId="194614913">
      <items count="6">
        <i x="5" s="1"/>
        <i x="4" s="1"/>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1E975AD-9CC3-40D0-B4FF-060F30FF7AEA}" sourceName="Payment_Method">
  <pivotTables>
    <pivotTable tabId="6" name="PivotTable1"/>
    <pivotTable tabId="15" name="PivotTable10"/>
    <pivotTable tabId="12" name="PivotTable7"/>
    <pivotTable tabId="11" name="PivotTable6"/>
    <pivotTable tabId="10" name="PivotTable2"/>
    <pivotTable tabId="9" name="PivotTable1"/>
  </pivotTables>
  <data>
    <tabular pivotCacheId="194614913">
      <items count="5">
        <i x="0" s="1"/>
        <i x="2"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5B3560F-041E-431C-8693-F2AED513D85F}" cache="Slicer_City" caption="City" rowHeight="241300"/>
  <slicer name="Product_Category" xr10:uid="{43426472-A1CB-4AB8-A7C5-C9E5D77A9D92}" cache="Slicer_Product_Category" caption="Product_Category" rowHeight="241300"/>
  <slicer name="Payment_Method" xr10:uid="{4FE69344-8ABE-47B1-8EF1-94988DDE273A}" cache="Slicer_Payment_Method" caption="Payment_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BFA31-8ECD-4826-93E1-8398B669B87E}">
  <dimension ref="A1:R301"/>
  <sheetViews>
    <sheetView topLeftCell="Q1" workbookViewId="0">
      <selection activeCell="U10" sqref="U10"/>
    </sheetView>
  </sheetViews>
  <sheetFormatPr defaultRowHeight="15" x14ac:dyDescent="0.25"/>
  <cols>
    <col min="1" max="1" width="9" bestFit="1" customWidth="1"/>
    <col min="2" max="2" width="11.28515625" bestFit="1" customWidth="1"/>
    <col min="3" max="3" width="14.140625" bestFit="1" customWidth="1"/>
    <col min="4" max="4" width="10.5703125" bestFit="1" customWidth="1"/>
    <col min="5" max="5" width="16.85546875" bestFit="1" customWidth="1"/>
    <col min="6" max="6" width="13.42578125" bestFit="1" customWidth="1"/>
    <col min="7" max="7" width="8.7109375" bestFit="1" customWidth="1"/>
    <col min="8" max="8" width="17" bestFit="1" customWidth="1"/>
    <col min="9" max="9" width="19.28515625" bestFit="1" customWidth="1"/>
    <col min="10" max="10" width="16.28515625" bestFit="1" customWidth="1"/>
    <col min="11" max="11" width="16.42578125" bestFit="1" customWidth="1"/>
    <col min="12" max="12" width="4.5703125" bestFit="1" customWidth="1"/>
    <col min="13" max="13" width="5" bestFit="1" customWidth="1"/>
    <col min="14" max="14" width="5.7109375" bestFit="1" customWidth="1"/>
    <col min="15" max="15" width="22.5703125" bestFit="1" customWidth="1"/>
    <col min="16" max="16" width="13.140625" bestFit="1" customWidth="1"/>
    <col min="17" max="17" width="9.85546875" bestFit="1" customWidth="1"/>
    <col min="18" max="18" width="8.85546875" bestFit="1" customWidth="1"/>
  </cols>
  <sheetData>
    <row r="1" spans="1:18"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row>
    <row r="2" spans="1:18" x14ac:dyDescent="0.25">
      <c r="A2" t="s">
        <v>18</v>
      </c>
      <c r="B2" t="s">
        <v>19</v>
      </c>
      <c r="C2">
        <v>43</v>
      </c>
      <c r="D2" t="s">
        <v>20</v>
      </c>
      <c r="E2" t="s">
        <v>21</v>
      </c>
      <c r="F2">
        <v>2100</v>
      </c>
      <c r="G2">
        <v>4</v>
      </c>
      <c r="H2" t="s">
        <v>22</v>
      </c>
      <c r="I2">
        <v>9</v>
      </c>
      <c r="J2">
        <v>4</v>
      </c>
      <c r="K2" t="str">
        <f>IF(AND(J2&gt;=4,G2&gt;=3),"Priority cust","Regular cust")</f>
        <v>Priority cust</v>
      </c>
      <c r="L2" t="s">
        <v>543</v>
      </c>
      <c r="M2" t="s">
        <v>544</v>
      </c>
      <c r="N2">
        <v>0.1</v>
      </c>
      <c r="O2">
        <v>560000</v>
      </c>
      <c r="P2">
        <v>31</v>
      </c>
      <c r="Q2">
        <v>13</v>
      </c>
      <c r="R2">
        <v>60</v>
      </c>
    </row>
    <row r="3" spans="1:18" x14ac:dyDescent="0.25">
      <c r="A3" t="s">
        <v>23</v>
      </c>
      <c r="B3" t="s">
        <v>24</v>
      </c>
      <c r="C3">
        <v>23</v>
      </c>
      <c r="D3" t="s">
        <v>25</v>
      </c>
      <c r="E3" t="s">
        <v>26</v>
      </c>
      <c r="F3">
        <v>1088.42</v>
      </c>
      <c r="G3">
        <v>3</v>
      </c>
      <c r="H3" t="s">
        <v>22</v>
      </c>
      <c r="I3">
        <v>4</v>
      </c>
      <c r="J3">
        <v>5</v>
      </c>
      <c r="K3" t="str">
        <f t="shared" ref="K3:K66" si="0">IF(AND(J3&gt;=4,G3&gt;=3),"Priority cust","Regular cust")</f>
        <v>Priority cust</v>
      </c>
      <c r="L3" t="s">
        <v>545</v>
      </c>
      <c r="M3" t="s">
        <v>544</v>
      </c>
      <c r="N3">
        <v>0.12</v>
      </c>
      <c r="O3">
        <v>240000</v>
      </c>
      <c r="P3">
        <v>31</v>
      </c>
      <c r="Q3">
        <v>14</v>
      </c>
      <c r="R3">
        <v>30</v>
      </c>
    </row>
    <row r="4" spans="1:18" x14ac:dyDescent="0.25">
      <c r="A4" t="s">
        <v>27</v>
      </c>
      <c r="B4" t="s">
        <v>28</v>
      </c>
      <c r="C4">
        <v>57</v>
      </c>
      <c r="D4" t="s">
        <v>29</v>
      </c>
      <c r="E4" t="s">
        <v>30</v>
      </c>
      <c r="F4">
        <v>4819.04</v>
      </c>
      <c r="G4">
        <v>2</v>
      </c>
      <c r="H4" t="s">
        <v>31</v>
      </c>
      <c r="I4">
        <v>4</v>
      </c>
      <c r="J4">
        <v>5</v>
      </c>
      <c r="K4" t="str">
        <f t="shared" si="0"/>
        <v>Regular cust</v>
      </c>
      <c r="L4" t="s">
        <v>547</v>
      </c>
      <c r="M4" t="s">
        <v>548</v>
      </c>
      <c r="N4">
        <v>0.12</v>
      </c>
      <c r="O4">
        <v>350000</v>
      </c>
      <c r="P4">
        <v>50</v>
      </c>
      <c r="Q4">
        <v>12</v>
      </c>
      <c r="R4">
        <v>100</v>
      </c>
    </row>
    <row r="5" spans="1:18" x14ac:dyDescent="0.25">
      <c r="A5" t="s">
        <v>32</v>
      </c>
      <c r="B5" t="s">
        <v>33</v>
      </c>
      <c r="C5">
        <v>46</v>
      </c>
      <c r="D5" t="s">
        <v>34</v>
      </c>
      <c r="E5" t="s">
        <v>35</v>
      </c>
      <c r="F5">
        <v>4876.28</v>
      </c>
      <c r="G5">
        <v>5</v>
      </c>
      <c r="H5" t="s">
        <v>36</v>
      </c>
      <c r="I5">
        <v>5</v>
      </c>
      <c r="J5">
        <v>3</v>
      </c>
      <c r="K5" t="str">
        <f t="shared" si="0"/>
        <v>Regular cust</v>
      </c>
      <c r="L5" t="s">
        <v>549</v>
      </c>
      <c r="M5" t="s">
        <v>11</v>
      </c>
      <c r="N5">
        <v>0.18</v>
      </c>
      <c r="O5">
        <v>450000</v>
      </c>
      <c r="P5">
        <v>80</v>
      </c>
      <c r="Q5">
        <v>15</v>
      </c>
      <c r="R5">
        <v>50</v>
      </c>
    </row>
    <row r="6" spans="1:18" x14ac:dyDescent="0.25">
      <c r="A6" t="s">
        <v>37</v>
      </c>
      <c r="B6" t="s">
        <v>38</v>
      </c>
      <c r="C6">
        <v>24</v>
      </c>
      <c r="D6" t="s">
        <v>34</v>
      </c>
      <c r="E6" t="s">
        <v>30</v>
      </c>
      <c r="F6">
        <v>642.13</v>
      </c>
      <c r="G6">
        <v>5</v>
      </c>
      <c r="H6" t="s">
        <v>39</v>
      </c>
      <c r="I6">
        <v>10</v>
      </c>
      <c r="J6">
        <v>4</v>
      </c>
      <c r="K6" t="str">
        <f t="shared" si="0"/>
        <v>Priority cust</v>
      </c>
      <c r="L6" t="s">
        <v>547</v>
      </c>
      <c r="M6" t="s">
        <v>39</v>
      </c>
      <c r="N6">
        <v>0.12</v>
      </c>
      <c r="O6">
        <v>350000</v>
      </c>
      <c r="P6">
        <v>50</v>
      </c>
      <c r="Q6">
        <v>12</v>
      </c>
      <c r="R6">
        <v>100</v>
      </c>
    </row>
    <row r="7" spans="1:18" x14ac:dyDescent="0.25">
      <c r="A7" t="s">
        <v>40</v>
      </c>
      <c r="B7" t="s">
        <v>41</v>
      </c>
      <c r="C7">
        <v>55</v>
      </c>
      <c r="D7" t="s">
        <v>25</v>
      </c>
      <c r="E7" t="s">
        <v>21</v>
      </c>
      <c r="F7">
        <v>1806.15</v>
      </c>
      <c r="G7">
        <v>5</v>
      </c>
      <c r="H7" t="s">
        <v>42</v>
      </c>
      <c r="I7">
        <v>10</v>
      </c>
      <c r="J7">
        <v>1</v>
      </c>
      <c r="K7" t="str">
        <f t="shared" si="0"/>
        <v>Regular cust</v>
      </c>
      <c r="L7" t="s">
        <v>543</v>
      </c>
      <c r="M7" t="s">
        <v>550</v>
      </c>
      <c r="N7">
        <v>0.1</v>
      </c>
      <c r="O7">
        <v>560000</v>
      </c>
      <c r="P7">
        <v>90</v>
      </c>
      <c r="Q7">
        <v>13</v>
      </c>
      <c r="R7">
        <v>60</v>
      </c>
    </row>
    <row r="8" spans="1:18" x14ac:dyDescent="0.25">
      <c r="A8" t="s">
        <v>43</v>
      </c>
      <c r="B8" t="s">
        <v>44</v>
      </c>
      <c r="C8">
        <v>46</v>
      </c>
      <c r="D8" t="s">
        <v>45</v>
      </c>
      <c r="E8" t="s">
        <v>30</v>
      </c>
      <c r="F8">
        <v>4321.12</v>
      </c>
      <c r="G8">
        <v>1</v>
      </c>
      <c r="H8" t="s">
        <v>42</v>
      </c>
      <c r="I8">
        <v>9</v>
      </c>
      <c r="J8">
        <v>2</v>
      </c>
      <c r="K8" t="str">
        <f t="shared" si="0"/>
        <v>Regular cust</v>
      </c>
      <c r="L8" t="s">
        <v>547</v>
      </c>
      <c r="M8" t="s">
        <v>550</v>
      </c>
      <c r="N8">
        <v>0.12</v>
      </c>
      <c r="O8">
        <v>350000</v>
      </c>
      <c r="P8">
        <v>90</v>
      </c>
      <c r="Q8">
        <v>12</v>
      </c>
      <c r="R8">
        <v>100</v>
      </c>
    </row>
    <row r="9" spans="1:18" x14ac:dyDescent="0.25">
      <c r="A9" t="s">
        <v>46</v>
      </c>
      <c r="B9" t="s">
        <v>47</v>
      </c>
      <c r="C9">
        <v>55</v>
      </c>
      <c r="D9" t="s">
        <v>45</v>
      </c>
      <c r="E9" t="s">
        <v>48</v>
      </c>
      <c r="F9">
        <v>2454.96</v>
      </c>
      <c r="G9">
        <v>5</v>
      </c>
      <c r="H9" t="s">
        <v>39</v>
      </c>
      <c r="I9">
        <v>9</v>
      </c>
      <c r="J9">
        <v>4</v>
      </c>
      <c r="K9" t="str">
        <f t="shared" si="0"/>
        <v>Priority cust</v>
      </c>
      <c r="L9" t="s">
        <v>551</v>
      </c>
      <c r="M9" t="s">
        <v>39</v>
      </c>
      <c r="N9">
        <v>0.05</v>
      </c>
      <c r="O9">
        <v>400000</v>
      </c>
      <c r="P9">
        <v>50</v>
      </c>
      <c r="Q9">
        <v>7</v>
      </c>
      <c r="R9">
        <v>40</v>
      </c>
    </row>
    <row r="10" spans="1:18" x14ac:dyDescent="0.25">
      <c r="A10" t="s">
        <v>49</v>
      </c>
      <c r="B10" t="s">
        <v>50</v>
      </c>
      <c r="C10">
        <v>36</v>
      </c>
      <c r="D10" t="s">
        <v>20</v>
      </c>
      <c r="E10" t="s">
        <v>51</v>
      </c>
      <c r="F10">
        <v>2270.61</v>
      </c>
      <c r="G10">
        <v>3</v>
      </c>
      <c r="H10" t="s">
        <v>42</v>
      </c>
      <c r="I10">
        <v>8</v>
      </c>
      <c r="J10">
        <v>3</v>
      </c>
      <c r="K10" t="str">
        <f t="shared" si="0"/>
        <v>Regular cust</v>
      </c>
      <c r="L10" t="s">
        <v>552</v>
      </c>
      <c r="M10" t="s">
        <v>550</v>
      </c>
      <c r="N10">
        <v>0.14000000000000001</v>
      </c>
      <c r="O10">
        <v>300000</v>
      </c>
      <c r="P10">
        <v>90</v>
      </c>
      <c r="Q10">
        <v>12</v>
      </c>
      <c r="R10">
        <v>70</v>
      </c>
    </row>
    <row r="11" spans="1:18" x14ac:dyDescent="0.25">
      <c r="A11" t="s">
        <v>52</v>
      </c>
      <c r="B11" t="s">
        <v>53</v>
      </c>
      <c r="C11">
        <v>30</v>
      </c>
      <c r="D11" t="s">
        <v>54</v>
      </c>
      <c r="E11" t="s">
        <v>30</v>
      </c>
      <c r="F11">
        <v>3775.38</v>
      </c>
      <c r="G11">
        <v>3</v>
      </c>
      <c r="H11" t="s">
        <v>22</v>
      </c>
      <c r="I11">
        <v>2</v>
      </c>
      <c r="J11">
        <v>5</v>
      </c>
      <c r="K11" t="str">
        <f t="shared" si="0"/>
        <v>Priority cust</v>
      </c>
      <c r="L11" t="s">
        <v>547</v>
      </c>
      <c r="M11" t="s">
        <v>544</v>
      </c>
      <c r="N11">
        <v>0.12</v>
      </c>
      <c r="O11">
        <v>350000</v>
      </c>
      <c r="P11">
        <v>31</v>
      </c>
      <c r="Q11">
        <v>12</v>
      </c>
      <c r="R11">
        <v>100</v>
      </c>
    </row>
    <row r="12" spans="1:18" x14ac:dyDescent="0.25">
      <c r="A12" t="s">
        <v>55</v>
      </c>
      <c r="B12" t="s">
        <v>56</v>
      </c>
      <c r="C12">
        <v>23</v>
      </c>
      <c r="D12" t="s">
        <v>54</v>
      </c>
      <c r="E12" t="s">
        <v>30</v>
      </c>
      <c r="F12">
        <v>4116.28</v>
      </c>
      <c r="G12">
        <v>4</v>
      </c>
      <c r="H12" t="s">
        <v>31</v>
      </c>
      <c r="I12">
        <v>2</v>
      </c>
      <c r="J12">
        <v>4</v>
      </c>
      <c r="K12" t="str">
        <f t="shared" si="0"/>
        <v>Priority cust</v>
      </c>
      <c r="L12" t="s">
        <v>547</v>
      </c>
      <c r="M12" t="s">
        <v>548</v>
      </c>
      <c r="N12">
        <v>0.12</v>
      </c>
      <c r="O12">
        <v>350000</v>
      </c>
      <c r="P12">
        <v>50</v>
      </c>
      <c r="Q12">
        <v>12</v>
      </c>
      <c r="R12">
        <v>100</v>
      </c>
    </row>
    <row r="13" spans="1:18" x14ac:dyDescent="0.25">
      <c r="A13" t="s">
        <v>57</v>
      </c>
      <c r="B13" t="s">
        <v>58</v>
      </c>
      <c r="C13">
        <v>44</v>
      </c>
      <c r="D13" t="s">
        <v>29</v>
      </c>
      <c r="E13" t="s">
        <v>21</v>
      </c>
      <c r="F13">
        <v>3978.48</v>
      </c>
      <c r="G13">
        <v>5</v>
      </c>
      <c r="H13" t="s">
        <v>36</v>
      </c>
      <c r="I13">
        <v>3</v>
      </c>
      <c r="J13">
        <v>3</v>
      </c>
      <c r="K13" t="str">
        <f t="shared" si="0"/>
        <v>Regular cust</v>
      </c>
      <c r="L13" t="s">
        <v>543</v>
      </c>
      <c r="M13" t="s">
        <v>11</v>
      </c>
      <c r="N13">
        <v>0.1</v>
      </c>
      <c r="O13">
        <v>560000</v>
      </c>
      <c r="P13">
        <v>80</v>
      </c>
      <c r="Q13">
        <v>13</v>
      </c>
      <c r="R13">
        <v>60</v>
      </c>
    </row>
    <row r="14" spans="1:18" x14ac:dyDescent="0.25">
      <c r="A14" t="s">
        <v>59</v>
      </c>
      <c r="B14" t="s">
        <v>60</v>
      </c>
      <c r="C14">
        <v>33</v>
      </c>
      <c r="D14" t="s">
        <v>29</v>
      </c>
      <c r="E14" t="s">
        <v>26</v>
      </c>
      <c r="F14">
        <v>4531.84</v>
      </c>
      <c r="G14">
        <v>5</v>
      </c>
      <c r="H14" t="s">
        <v>42</v>
      </c>
      <c r="I14">
        <v>9</v>
      </c>
      <c r="J14">
        <v>2</v>
      </c>
      <c r="K14" t="str">
        <f t="shared" si="0"/>
        <v>Regular cust</v>
      </c>
      <c r="L14" t="s">
        <v>545</v>
      </c>
      <c r="M14" t="s">
        <v>550</v>
      </c>
      <c r="N14">
        <v>0.12</v>
      </c>
      <c r="O14">
        <v>240000</v>
      </c>
      <c r="P14">
        <v>90</v>
      </c>
      <c r="Q14">
        <v>14</v>
      </c>
      <c r="R14">
        <v>30</v>
      </c>
    </row>
    <row r="15" spans="1:18" x14ac:dyDescent="0.25">
      <c r="A15" t="s">
        <v>61</v>
      </c>
      <c r="B15" t="s">
        <v>62</v>
      </c>
      <c r="C15">
        <v>50</v>
      </c>
      <c r="D15" t="s">
        <v>20</v>
      </c>
      <c r="E15" t="s">
        <v>30</v>
      </c>
      <c r="F15">
        <v>3038.19</v>
      </c>
      <c r="G15">
        <v>1</v>
      </c>
      <c r="H15" t="s">
        <v>42</v>
      </c>
      <c r="I15">
        <v>4</v>
      </c>
      <c r="J15">
        <v>4</v>
      </c>
      <c r="K15" t="str">
        <f t="shared" si="0"/>
        <v>Regular cust</v>
      </c>
      <c r="L15" t="s">
        <v>547</v>
      </c>
      <c r="M15" t="s">
        <v>550</v>
      </c>
      <c r="N15">
        <v>0.12</v>
      </c>
      <c r="O15">
        <v>350000</v>
      </c>
      <c r="P15">
        <v>90</v>
      </c>
      <c r="Q15">
        <v>12</v>
      </c>
      <c r="R15">
        <v>100</v>
      </c>
    </row>
    <row r="16" spans="1:18" x14ac:dyDescent="0.25">
      <c r="A16" t="s">
        <v>63</v>
      </c>
      <c r="B16" t="s">
        <v>64</v>
      </c>
      <c r="C16">
        <v>19</v>
      </c>
      <c r="D16" t="s">
        <v>45</v>
      </c>
      <c r="E16" t="s">
        <v>35</v>
      </c>
      <c r="F16">
        <v>2182.13</v>
      </c>
      <c r="G16">
        <v>5</v>
      </c>
      <c r="H16" t="s">
        <v>22</v>
      </c>
      <c r="I16">
        <v>10</v>
      </c>
      <c r="J16">
        <v>1</v>
      </c>
      <c r="K16" t="str">
        <f t="shared" si="0"/>
        <v>Regular cust</v>
      </c>
      <c r="L16" t="s">
        <v>549</v>
      </c>
      <c r="M16" t="s">
        <v>544</v>
      </c>
      <c r="N16">
        <v>0.18</v>
      </c>
      <c r="O16">
        <v>450000</v>
      </c>
      <c r="P16">
        <v>31</v>
      </c>
      <c r="Q16">
        <v>15</v>
      </c>
      <c r="R16">
        <v>50</v>
      </c>
    </row>
    <row r="17" spans="1:18" x14ac:dyDescent="0.25">
      <c r="A17" t="s">
        <v>65</v>
      </c>
      <c r="B17" t="s">
        <v>66</v>
      </c>
      <c r="C17">
        <v>49</v>
      </c>
      <c r="D17" t="s">
        <v>20</v>
      </c>
      <c r="E17" t="s">
        <v>26</v>
      </c>
      <c r="F17">
        <v>1078.4100000000001</v>
      </c>
      <c r="G17">
        <v>5</v>
      </c>
      <c r="H17" t="s">
        <v>39</v>
      </c>
      <c r="I17">
        <v>10</v>
      </c>
      <c r="J17">
        <v>3</v>
      </c>
      <c r="K17" t="str">
        <f t="shared" si="0"/>
        <v>Regular cust</v>
      </c>
      <c r="L17" t="s">
        <v>545</v>
      </c>
      <c r="M17" t="s">
        <v>39</v>
      </c>
      <c r="N17">
        <v>0.12</v>
      </c>
      <c r="O17">
        <v>240000</v>
      </c>
      <c r="P17">
        <v>50</v>
      </c>
      <c r="Q17">
        <v>14</v>
      </c>
      <c r="R17">
        <v>30</v>
      </c>
    </row>
    <row r="18" spans="1:18" x14ac:dyDescent="0.25">
      <c r="A18" t="s">
        <v>67</v>
      </c>
      <c r="B18" t="s">
        <v>68</v>
      </c>
      <c r="C18">
        <v>52</v>
      </c>
      <c r="D18" t="s">
        <v>45</v>
      </c>
      <c r="E18" t="s">
        <v>35</v>
      </c>
      <c r="F18">
        <v>1613.93</v>
      </c>
      <c r="G18">
        <v>1</v>
      </c>
      <c r="H18" t="s">
        <v>39</v>
      </c>
      <c r="I18">
        <v>10</v>
      </c>
      <c r="J18">
        <v>3</v>
      </c>
      <c r="K18" t="str">
        <f t="shared" si="0"/>
        <v>Regular cust</v>
      </c>
      <c r="L18" t="s">
        <v>549</v>
      </c>
      <c r="M18" t="s">
        <v>39</v>
      </c>
      <c r="N18">
        <v>0.18</v>
      </c>
      <c r="O18">
        <v>450000</v>
      </c>
      <c r="P18">
        <v>50</v>
      </c>
      <c r="Q18">
        <v>15</v>
      </c>
      <c r="R18">
        <v>50</v>
      </c>
    </row>
    <row r="19" spans="1:18" x14ac:dyDescent="0.25">
      <c r="A19" t="s">
        <v>69</v>
      </c>
      <c r="B19" t="s">
        <v>70</v>
      </c>
      <c r="C19">
        <v>37</v>
      </c>
      <c r="D19" t="s">
        <v>20</v>
      </c>
      <c r="E19" t="s">
        <v>51</v>
      </c>
      <c r="F19">
        <v>2424.6</v>
      </c>
      <c r="G19">
        <v>4</v>
      </c>
      <c r="H19" t="s">
        <v>22</v>
      </c>
      <c r="I19">
        <v>9</v>
      </c>
      <c r="J19">
        <v>4</v>
      </c>
      <c r="K19" t="str">
        <f t="shared" si="0"/>
        <v>Priority cust</v>
      </c>
      <c r="L19" t="s">
        <v>552</v>
      </c>
      <c r="M19" t="s">
        <v>544</v>
      </c>
      <c r="N19">
        <v>0.14000000000000001</v>
      </c>
      <c r="O19">
        <v>300000</v>
      </c>
      <c r="P19">
        <v>31</v>
      </c>
      <c r="Q19">
        <v>12</v>
      </c>
      <c r="R19">
        <v>70</v>
      </c>
    </row>
    <row r="20" spans="1:18" x14ac:dyDescent="0.25">
      <c r="A20" t="s">
        <v>71</v>
      </c>
      <c r="B20" t="s">
        <v>72</v>
      </c>
      <c r="C20">
        <v>53</v>
      </c>
      <c r="D20" t="s">
        <v>54</v>
      </c>
      <c r="E20" t="s">
        <v>26</v>
      </c>
      <c r="F20">
        <v>577.95000000000005</v>
      </c>
      <c r="G20">
        <v>4</v>
      </c>
      <c r="H20" t="s">
        <v>31</v>
      </c>
      <c r="I20">
        <v>1</v>
      </c>
      <c r="J20">
        <v>3</v>
      </c>
      <c r="K20" t="str">
        <f t="shared" si="0"/>
        <v>Regular cust</v>
      </c>
      <c r="L20" t="s">
        <v>545</v>
      </c>
      <c r="M20" t="s">
        <v>548</v>
      </c>
      <c r="N20">
        <v>0.12</v>
      </c>
      <c r="O20">
        <v>240000</v>
      </c>
      <c r="P20">
        <v>50</v>
      </c>
      <c r="Q20">
        <v>14</v>
      </c>
      <c r="R20">
        <v>30</v>
      </c>
    </row>
    <row r="21" spans="1:18" x14ac:dyDescent="0.25">
      <c r="A21" t="s">
        <v>73</v>
      </c>
      <c r="B21" t="s">
        <v>74</v>
      </c>
      <c r="C21">
        <v>26</v>
      </c>
      <c r="D21" t="s">
        <v>34</v>
      </c>
      <c r="E21" t="s">
        <v>51</v>
      </c>
      <c r="F21">
        <v>4279.2</v>
      </c>
      <c r="G21">
        <v>5</v>
      </c>
      <c r="H21" t="s">
        <v>36</v>
      </c>
      <c r="I21">
        <v>6</v>
      </c>
      <c r="J21">
        <v>3</v>
      </c>
      <c r="K21" t="str">
        <f t="shared" si="0"/>
        <v>Regular cust</v>
      </c>
      <c r="L21" t="s">
        <v>552</v>
      </c>
      <c r="M21" t="s">
        <v>11</v>
      </c>
      <c r="N21">
        <v>0.14000000000000001</v>
      </c>
      <c r="O21">
        <v>300000</v>
      </c>
      <c r="P21">
        <v>80</v>
      </c>
      <c r="Q21">
        <v>12</v>
      </c>
      <c r="R21">
        <v>70</v>
      </c>
    </row>
    <row r="22" spans="1:18" x14ac:dyDescent="0.25">
      <c r="A22" t="s">
        <v>75</v>
      </c>
      <c r="B22" t="s">
        <v>76</v>
      </c>
      <c r="C22">
        <v>41</v>
      </c>
      <c r="D22" t="s">
        <v>45</v>
      </c>
      <c r="E22" t="s">
        <v>21</v>
      </c>
      <c r="F22">
        <v>2028.05</v>
      </c>
      <c r="G22">
        <v>3</v>
      </c>
      <c r="H22" t="s">
        <v>39</v>
      </c>
      <c r="I22">
        <v>8</v>
      </c>
      <c r="J22">
        <v>3</v>
      </c>
      <c r="K22" t="str">
        <f t="shared" si="0"/>
        <v>Regular cust</v>
      </c>
      <c r="L22" t="s">
        <v>543</v>
      </c>
      <c r="M22" t="s">
        <v>39</v>
      </c>
      <c r="N22">
        <v>0.1</v>
      </c>
      <c r="O22">
        <v>560000</v>
      </c>
      <c r="P22">
        <v>50</v>
      </c>
      <c r="Q22">
        <v>13</v>
      </c>
      <c r="R22">
        <v>60</v>
      </c>
    </row>
    <row r="23" spans="1:18" x14ac:dyDescent="0.25">
      <c r="A23" t="s">
        <v>77</v>
      </c>
      <c r="B23" t="s">
        <v>78</v>
      </c>
      <c r="C23">
        <v>36</v>
      </c>
      <c r="D23" t="s">
        <v>45</v>
      </c>
      <c r="E23" t="s">
        <v>35</v>
      </c>
      <c r="F23">
        <v>393.3</v>
      </c>
      <c r="G23">
        <v>1</v>
      </c>
      <c r="H23" t="s">
        <v>39</v>
      </c>
      <c r="I23">
        <v>6</v>
      </c>
      <c r="J23">
        <v>5</v>
      </c>
      <c r="K23" t="str">
        <f t="shared" si="0"/>
        <v>Regular cust</v>
      </c>
      <c r="L23" t="s">
        <v>549</v>
      </c>
      <c r="M23" t="s">
        <v>39</v>
      </c>
      <c r="N23">
        <v>0.18</v>
      </c>
      <c r="O23">
        <v>450000</v>
      </c>
      <c r="P23">
        <v>50</v>
      </c>
      <c r="Q23">
        <v>15</v>
      </c>
      <c r="R23">
        <v>50</v>
      </c>
    </row>
    <row r="24" spans="1:18" x14ac:dyDescent="0.25">
      <c r="A24" t="s">
        <v>79</v>
      </c>
      <c r="B24" t="s">
        <v>80</v>
      </c>
      <c r="C24">
        <v>29</v>
      </c>
      <c r="D24" t="s">
        <v>34</v>
      </c>
      <c r="E24" t="s">
        <v>21</v>
      </c>
      <c r="F24">
        <v>4962.08</v>
      </c>
      <c r="G24">
        <v>4</v>
      </c>
      <c r="H24" t="s">
        <v>39</v>
      </c>
      <c r="I24">
        <v>7</v>
      </c>
      <c r="J24">
        <v>3</v>
      </c>
      <c r="K24" t="str">
        <f t="shared" si="0"/>
        <v>Regular cust</v>
      </c>
      <c r="L24" t="s">
        <v>543</v>
      </c>
      <c r="M24" t="s">
        <v>39</v>
      </c>
      <c r="N24">
        <v>0.1</v>
      </c>
      <c r="O24">
        <v>560000</v>
      </c>
      <c r="P24">
        <v>50</v>
      </c>
      <c r="Q24">
        <v>13</v>
      </c>
      <c r="R24">
        <v>60</v>
      </c>
    </row>
    <row r="25" spans="1:18" x14ac:dyDescent="0.25">
      <c r="A25" t="s">
        <v>81</v>
      </c>
      <c r="B25" t="s">
        <v>82</v>
      </c>
      <c r="C25">
        <v>35</v>
      </c>
      <c r="D25" t="s">
        <v>54</v>
      </c>
      <c r="E25" t="s">
        <v>48</v>
      </c>
      <c r="F25">
        <v>2134.5</v>
      </c>
      <c r="G25">
        <v>4</v>
      </c>
      <c r="H25" t="s">
        <v>31</v>
      </c>
      <c r="I25">
        <v>1</v>
      </c>
      <c r="J25">
        <v>2</v>
      </c>
      <c r="K25" t="str">
        <f t="shared" si="0"/>
        <v>Regular cust</v>
      </c>
      <c r="L25" t="s">
        <v>551</v>
      </c>
      <c r="M25" t="s">
        <v>548</v>
      </c>
      <c r="N25">
        <v>0.05</v>
      </c>
      <c r="O25">
        <v>400000</v>
      </c>
      <c r="P25">
        <v>50</v>
      </c>
      <c r="Q25">
        <v>7</v>
      </c>
      <c r="R25">
        <v>40</v>
      </c>
    </row>
    <row r="26" spans="1:18" x14ac:dyDescent="0.25">
      <c r="A26" t="s">
        <v>83</v>
      </c>
      <c r="B26" t="s">
        <v>84</v>
      </c>
      <c r="C26">
        <v>32</v>
      </c>
      <c r="D26" t="s">
        <v>29</v>
      </c>
      <c r="E26" t="s">
        <v>48</v>
      </c>
      <c r="F26">
        <v>1404.66</v>
      </c>
      <c r="G26">
        <v>1</v>
      </c>
      <c r="H26" t="s">
        <v>36</v>
      </c>
      <c r="I26">
        <v>7</v>
      </c>
      <c r="J26">
        <v>3</v>
      </c>
      <c r="K26" t="str">
        <f t="shared" si="0"/>
        <v>Regular cust</v>
      </c>
      <c r="L26" t="s">
        <v>551</v>
      </c>
      <c r="M26" t="s">
        <v>11</v>
      </c>
      <c r="N26">
        <v>0.05</v>
      </c>
      <c r="O26">
        <v>400000</v>
      </c>
      <c r="P26">
        <v>80</v>
      </c>
      <c r="Q26">
        <v>7</v>
      </c>
      <c r="R26">
        <v>40</v>
      </c>
    </row>
    <row r="27" spans="1:18" x14ac:dyDescent="0.25">
      <c r="A27" t="s">
        <v>85</v>
      </c>
      <c r="B27" t="s">
        <v>86</v>
      </c>
      <c r="C27">
        <v>53</v>
      </c>
      <c r="D27" t="s">
        <v>45</v>
      </c>
      <c r="E27" t="s">
        <v>30</v>
      </c>
      <c r="F27">
        <v>4074.35</v>
      </c>
      <c r="G27">
        <v>3</v>
      </c>
      <c r="H27" t="s">
        <v>22</v>
      </c>
      <c r="I27">
        <v>2</v>
      </c>
      <c r="J27">
        <v>1</v>
      </c>
      <c r="K27" t="str">
        <f t="shared" si="0"/>
        <v>Regular cust</v>
      </c>
      <c r="L27" t="s">
        <v>547</v>
      </c>
      <c r="M27" t="s">
        <v>544</v>
      </c>
      <c r="N27">
        <v>0.12</v>
      </c>
      <c r="O27">
        <v>350000</v>
      </c>
      <c r="P27">
        <v>31</v>
      </c>
      <c r="Q27">
        <v>12</v>
      </c>
      <c r="R27">
        <v>100</v>
      </c>
    </row>
    <row r="28" spans="1:18" x14ac:dyDescent="0.25">
      <c r="A28" t="s">
        <v>87</v>
      </c>
      <c r="B28" t="s">
        <v>88</v>
      </c>
      <c r="C28">
        <v>29</v>
      </c>
      <c r="D28" t="s">
        <v>34</v>
      </c>
      <c r="E28" t="s">
        <v>51</v>
      </c>
      <c r="F28">
        <v>2724.67</v>
      </c>
      <c r="G28">
        <v>4</v>
      </c>
      <c r="H28" t="s">
        <v>42</v>
      </c>
      <c r="I28">
        <v>6</v>
      </c>
      <c r="J28">
        <v>2</v>
      </c>
      <c r="K28" t="str">
        <f t="shared" si="0"/>
        <v>Regular cust</v>
      </c>
      <c r="L28" t="s">
        <v>552</v>
      </c>
      <c r="M28" t="s">
        <v>550</v>
      </c>
      <c r="N28">
        <v>0.14000000000000001</v>
      </c>
      <c r="O28">
        <v>300000</v>
      </c>
      <c r="P28">
        <v>90</v>
      </c>
      <c r="Q28">
        <v>12</v>
      </c>
      <c r="R28">
        <v>70</v>
      </c>
    </row>
    <row r="29" spans="1:18" x14ac:dyDescent="0.25">
      <c r="A29" t="s">
        <v>89</v>
      </c>
      <c r="B29" t="s">
        <v>90</v>
      </c>
      <c r="C29">
        <v>23</v>
      </c>
      <c r="D29" t="s">
        <v>45</v>
      </c>
      <c r="E29" t="s">
        <v>51</v>
      </c>
      <c r="F29">
        <v>4871.7</v>
      </c>
      <c r="G29">
        <v>2</v>
      </c>
      <c r="H29" t="s">
        <v>39</v>
      </c>
      <c r="I29">
        <v>1</v>
      </c>
      <c r="J29">
        <v>2</v>
      </c>
      <c r="K29" t="str">
        <f t="shared" si="0"/>
        <v>Regular cust</v>
      </c>
      <c r="L29" t="s">
        <v>552</v>
      </c>
      <c r="M29" t="s">
        <v>39</v>
      </c>
      <c r="N29">
        <v>0.14000000000000001</v>
      </c>
      <c r="O29">
        <v>300000</v>
      </c>
      <c r="P29">
        <v>50</v>
      </c>
      <c r="Q29">
        <v>12</v>
      </c>
      <c r="R29">
        <v>70</v>
      </c>
    </row>
    <row r="30" spans="1:18" x14ac:dyDescent="0.25">
      <c r="A30" t="s">
        <v>91</v>
      </c>
      <c r="B30" t="s">
        <v>92</v>
      </c>
      <c r="C30">
        <v>26</v>
      </c>
      <c r="D30" t="s">
        <v>45</v>
      </c>
      <c r="E30" t="s">
        <v>26</v>
      </c>
      <c r="F30">
        <v>934.21</v>
      </c>
      <c r="G30">
        <v>3</v>
      </c>
      <c r="H30" t="s">
        <v>36</v>
      </c>
      <c r="I30">
        <v>8</v>
      </c>
      <c r="J30">
        <v>1</v>
      </c>
      <c r="K30" t="str">
        <f t="shared" si="0"/>
        <v>Regular cust</v>
      </c>
      <c r="L30" t="s">
        <v>545</v>
      </c>
      <c r="M30" t="s">
        <v>11</v>
      </c>
      <c r="N30">
        <v>0.12</v>
      </c>
      <c r="O30">
        <v>240000</v>
      </c>
      <c r="P30">
        <v>80</v>
      </c>
      <c r="Q30">
        <v>14</v>
      </c>
      <c r="R30">
        <v>30</v>
      </c>
    </row>
    <row r="31" spans="1:18" x14ac:dyDescent="0.25">
      <c r="A31" t="s">
        <v>93</v>
      </c>
      <c r="B31" t="s">
        <v>94</v>
      </c>
      <c r="C31">
        <v>58</v>
      </c>
      <c r="D31" t="s">
        <v>54</v>
      </c>
      <c r="E31" t="s">
        <v>48</v>
      </c>
      <c r="F31">
        <v>1435.73</v>
      </c>
      <c r="G31">
        <v>2</v>
      </c>
      <c r="H31" t="s">
        <v>36</v>
      </c>
      <c r="I31">
        <v>10</v>
      </c>
      <c r="J31">
        <v>2</v>
      </c>
      <c r="K31" t="str">
        <f t="shared" si="0"/>
        <v>Regular cust</v>
      </c>
      <c r="L31" t="s">
        <v>551</v>
      </c>
      <c r="M31" t="s">
        <v>11</v>
      </c>
      <c r="N31">
        <v>0.05</v>
      </c>
      <c r="O31">
        <v>400000</v>
      </c>
      <c r="P31">
        <v>80</v>
      </c>
      <c r="Q31">
        <v>7</v>
      </c>
      <c r="R31">
        <v>40</v>
      </c>
    </row>
    <row r="32" spans="1:18" x14ac:dyDescent="0.25">
      <c r="A32" t="s">
        <v>95</v>
      </c>
      <c r="B32" t="s">
        <v>92</v>
      </c>
      <c r="C32">
        <v>20</v>
      </c>
      <c r="D32" t="s">
        <v>34</v>
      </c>
      <c r="E32" t="s">
        <v>26</v>
      </c>
      <c r="F32">
        <v>1668.69</v>
      </c>
      <c r="G32">
        <v>2</v>
      </c>
      <c r="H32" t="s">
        <v>42</v>
      </c>
      <c r="I32">
        <v>6</v>
      </c>
      <c r="J32">
        <v>4</v>
      </c>
      <c r="K32" t="str">
        <f t="shared" si="0"/>
        <v>Regular cust</v>
      </c>
      <c r="L32" t="s">
        <v>545</v>
      </c>
      <c r="M32" t="s">
        <v>550</v>
      </c>
      <c r="N32">
        <v>0.12</v>
      </c>
      <c r="O32">
        <v>240000</v>
      </c>
      <c r="P32">
        <v>90</v>
      </c>
      <c r="Q32">
        <v>14</v>
      </c>
      <c r="R32">
        <v>30</v>
      </c>
    </row>
    <row r="33" spans="1:18" x14ac:dyDescent="0.25">
      <c r="A33" t="s">
        <v>96</v>
      </c>
      <c r="B33" t="s">
        <v>97</v>
      </c>
      <c r="C33">
        <v>42</v>
      </c>
      <c r="D33" t="s">
        <v>25</v>
      </c>
      <c r="E33" t="s">
        <v>30</v>
      </c>
      <c r="F33">
        <v>2686.04</v>
      </c>
      <c r="G33">
        <v>3</v>
      </c>
      <c r="H33" t="s">
        <v>36</v>
      </c>
      <c r="I33">
        <v>8</v>
      </c>
      <c r="J33">
        <v>3</v>
      </c>
      <c r="K33" t="str">
        <f t="shared" si="0"/>
        <v>Regular cust</v>
      </c>
      <c r="L33" t="s">
        <v>547</v>
      </c>
      <c r="M33" t="s">
        <v>11</v>
      </c>
      <c r="N33">
        <v>0.12</v>
      </c>
      <c r="O33">
        <v>350000</v>
      </c>
      <c r="P33">
        <v>80</v>
      </c>
      <c r="Q33">
        <v>12</v>
      </c>
      <c r="R33">
        <v>100</v>
      </c>
    </row>
    <row r="34" spans="1:18" x14ac:dyDescent="0.25">
      <c r="A34" t="s">
        <v>98</v>
      </c>
      <c r="B34" t="s">
        <v>99</v>
      </c>
      <c r="C34">
        <v>21</v>
      </c>
      <c r="D34" t="s">
        <v>45</v>
      </c>
      <c r="E34" t="s">
        <v>26</v>
      </c>
      <c r="F34">
        <v>477.1</v>
      </c>
      <c r="G34">
        <v>1</v>
      </c>
      <c r="H34" t="s">
        <v>42</v>
      </c>
      <c r="I34">
        <v>4</v>
      </c>
      <c r="J34">
        <v>3</v>
      </c>
      <c r="K34" t="str">
        <f t="shared" si="0"/>
        <v>Regular cust</v>
      </c>
      <c r="L34" t="s">
        <v>545</v>
      </c>
      <c r="M34" t="s">
        <v>550</v>
      </c>
      <c r="N34">
        <v>0.12</v>
      </c>
      <c r="O34">
        <v>240000</v>
      </c>
      <c r="P34">
        <v>90</v>
      </c>
      <c r="Q34">
        <v>14</v>
      </c>
      <c r="R34">
        <v>30</v>
      </c>
    </row>
    <row r="35" spans="1:18" x14ac:dyDescent="0.25">
      <c r="A35" t="s">
        <v>100</v>
      </c>
      <c r="B35" t="s">
        <v>101</v>
      </c>
      <c r="C35">
        <v>33</v>
      </c>
      <c r="D35" t="s">
        <v>45</v>
      </c>
      <c r="E35" t="s">
        <v>51</v>
      </c>
      <c r="F35">
        <v>885.81</v>
      </c>
      <c r="G35">
        <v>1</v>
      </c>
      <c r="H35" t="s">
        <v>36</v>
      </c>
      <c r="I35">
        <v>3</v>
      </c>
      <c r="J35">
        <v>2</v>
      </c>
      <c r="K35" t="str">
        <f t="shared" si="0"/>
        <v>Regular cust</v>
      </c>
      <c r="L35" t="s">
        <v>552</v>
      </c>
      <c r="M35" t="s">
        <v>11</v>
      </c>
      <c r="N35">
        <v>0.14000000000000001</v>
      </c>
      <c r="O35">
        <v>300000</v>
      </c>
      <c r="P35">
        <v>80</v>
      </c>
      <c r="Q35">
        <v>12</v>
      </c>
      <c r="R35">
        <v>70</v>
      </c>
    </row>
    <row r="36" spans="1:18" x14ac:dyDescent="0.25">
      <c r="A36" t="s">
        <v>102</v>
      </c>
      <c r="B36" t="s">
        <v>103</v>
      </c>
      <c r="C36">
        <v>50</v>
      </c>
      <c r="D36" t="s">
        <v>54</v>
      </c>
      <c r="E36" t="s">
        <v>30</v>
      </c>
      <c r="F36">
        <v>951.52</v>
      </c>
      <c r="G36">
        <v>5</v>
      </c>
      <c r="H36" t="s">
        <v>42</v>
      </c>
      <c r="I36">
        <v>6</v>
      </c>
      <c r="J36">
        <v>1</v>
      </c>
      <c r="K36" t="str">
        <f t="shared" si="0"/>
        <v>Regular cust</v>
      </c>
      <c r="L36" t="s">
        <v>547</v>
      </c>
      <c r="M36" t="s">
        <v>550</v>
      </c>
      <c r="N36">
        <v>0.12</v>
      </c>
      <c r="O36">
        <v>350000</v>
      </c>
      <c r="P36">
        <v>90</v>
      </c>
      <c r="Q36">
        <v>12</v>
      </c>
      <c r="R36">
        <v>100</v>
      </c>
    </row>
    <row r="37" spans="1:18" x14ac:dyDescent="0.25">
      <c r="A37" t="s">
        <v>104</v>
      </c>
      <c r="B37" t="s">
        <v>97</v>
      </c>
      <c r="C37">
        <v>21</v>
      </c>
      <c r="D37" t="s">
        <v>45</v>
      </c>
      <c r="E37" t="s">
        <v>26</v>
      </c>
      <c r="F37">
        <v>2548.16</v>
      </c>
      <c r="G37">
        <v>2</v>
      </c>
      <c r="H37" t="s">
        <v>31</v>
      </c>
      <c r="I37">
        <v>5</v>
      </c>
      <c r="J37">
        <v>1</v>
      </c>
      <c r="K37" t="str">
        <f t="shared" si="0"/>
        <v>Regular cust</v>
      </c>
      <c r="L37" t="s">
        <v>545</v>
      </c>
      <c r="M37" t="s">
        <v>548</v>
      </c>
      <c r="N37">
        <v>0.12</v>
      </c>
      <c r="O37">
        <v>240000</v>
      </c>
      <c r="P37">
        <v>50</v>
      </c>
      <c r="Q37">
        <v>14</v>
      </c>
      <c r="R37">
        <v>30</v>
      </c>
    </row>
    <row r="38" spans="1:18" x14ac:dyDescent="0.25">
      <c r="A38" t="s">
        <v>105</v>
      </c>
      <c r="B38" t="s">
        <v>106</v>
      </c>
      <c r="C38">
        <v>55</v>
      </c>
      <c r="D38" t="s">
        <v>45</v>
      </c>
      <c r="E38" t="s">
        <v>30</v>
      </c>
      <c r="F38">
        <v>3901.4</v>
      </c>
      <c r="G38">
        <v>2</v>
      </c>
      <c r="H38" t="s">
        <v>31</v>
      </c>
      <c r="I38">
        <v>3</v>
      </c>
      <c r="J38">
        <v>4</v>
      </c>
      <c r="K38" t="str">
        <f t="shared" si="0"/>
        <v>Regular cust</v>
      </c>
      <c r="L38" t="s">
        <v>547</v>
      </c>
      <c r="M38" t="s">
        <v>548</v>
      </c>
      <c r="N38">
        <v>0.12</v>
      </c>
      <c r="O38">
        <v>350000</v>
      </c>
      <c r="P38">
        <v>50</v>
      </c>
      <c r="Q38">
        <v>12</v>
      </c>
      <c r="R38">
        <v>100</v>
      </c>
    </row>
    <row r="39" spans="1:18" x14ac:dyDescent="0.25">
      <c r="A39" t="s">
        <v>107</v>
      </c>
      <c r="B39" t="s">
        <v>108</v>
      </c>
      <c r="C39">
        <v>20</v>
      </c>
      <c r="D39" t="s">
        <v>25</v>
      </c>
      <c r="E39" t="s">
        <v>30</v>
      </c>
      <c r="F39">
        <v>3255.11</v>
      </c>
      <c r="G39">
        <v>3</v>
      </c>
      <c r="H39" t="s">
        <v>36</v>
      </c>
      <c r="I39">
        <v>7</v>
      </c>
      <c r="J39">
        <v>2</v>
      </c>
      <c r="K39" t="str">
        <f t="shared" si="0"/>
        <v>Regular cust</v>
      </c>
      <c r="L39" t="s">
        <v>547</v>
      </c>
      <c r="M39" t="s">
        <v>11</v>
      </c>
      <c r="N39">
        <v>0.12</v>
      </c>
      <c r="O39">
        <v>350000</v>
      </c>
      <c r="P39">
        <v>80</v>
      </c>
      <c r="Q39">
        <v>12</v>
      </c>
      <c r="R39">
        <v>100</v>
      </c>
    </row>
    <row r="40" spans="1:18" x14ac:dyDescent="0.25">
      <c r="A40" t="s">
        <v>109</v>
      </c>
      <c r="B40" t="s">
        <v>97</v>
      </c>
      <c r="C40">
        <v>23</v>
      </c>
      <c r="D40" t="s">
        <v>25</v>
      </c>
      <c r="E40" t="s">
        <v>21</v>
      </c>
      <c r="F40">
        <v>3044.88</v>
      </c>
      <c r="G40">
        <v>1</v>
      </c>
      <c r="H40" t="s">
        <v>22</v>
      </c>
      <c r="I40">
        <v>9</v>
      </c>
      <c r="J40">
        <v>1</v>
      </c>
      <c r="K40" t="str">
        <f t="shared" si="0"/>
        <v>Regular cust</v>
      </c>
      <c r="L40" t="s">
        <v>543</v>
      </c>
      <c r="M40" t="s">
        <v>544</v>
      </c>
      <c r="N40">
        <v>0.1</v>
      </c>
      <c r="O40">
        <v>560000</v>
      </c>
      <c r="P40">
        <v>31</v>
      </c>
      <c r="Q40">
        <v>13</v>
      </c>
      <c r="R40">
        <v>60</v>
      </c>
    </row>
    <row r="41" spans="1:18" x14ac:dyDescent="0.25">
      <c r="A41" t="s">
        <v>110</v>
      </c>
      <c r="B41" t="s">
        <v>111</v>
      </c>
      <c r="C41">
        <v>50</v>
      </c>
      <c r="D41" t="s">
        <v>20</v>
      </c>
      <c r="E41" t="s">
        <v>26</v>
      </c>
      <c r="F41">
        <v>1257.98</v>
      </c>
      <c r="G41">
        <v>1</v>
      </c>
      <c r="H41" t="s">
        <v>31</v>
      </c>
      <c r="I41">
        <v>1</v>
      </c>
      <c r="J41">
        <v>5</v>
      </c>
      <c r="K41" t="str">
        <f t="shared" si="0"/>
        <v>Regular cust</v>
      </c>
      <c r="L41" t="s">
        <v>545</v>
      </c>
      <c r="M41" t="s">
        <v>548</v>
      </c>
      <c r="N41">
        <v>0.12</v>
      </c>
      <c r="O41">
        <v>240000</v>
      </c>
      <c r="P41">
        <v>50</v>
      </c>
      <c r="Q41">
        <v>14</v>
      </c>
      <c r="R41">
        <v>30</v>
      </c>
    </row>
    <row r="42" spans="1:18" x14ac:dyDescent="0.25">
      <c r="A42" t="s">
        <v>112</v>
      </c>
      <c r="B42" t="s">
        <v>113</v>
      </c>
      <c r="C42">
        <v>53</v>
      </c>
      <c r="D42" t="s">
        <v>34</v>
      </c>
      <c r="E42" t="s">
        <v>21</v>
      </c>
      <c r="F42">
        <v>816.96</v>
      </c>
      <c r="G42">
        <v>5</v>
      </c>
      <c r="H42" t="s">
        <v>36</v>
      </c>
      <c r="I42">
        <v>3</v>
      </c>
      <c r="J42">
        <v>5</v>
      </c>
      <c r="K42" t="str">
        <f t="shared" si="0"/>
        <v>Priority cust</v>
      </c>
      <c r="L42" t="s">
        <v>543</v>
      </c>
      <c r="M42" t="s">
        <v>11</v>
      </c>
      <c r="N42">
        <v>0.1</v>
      </c>
      <c r="O42">
        <v>560000</v>
      </c>
      <c r="P42">
        <v>80</v>
      </c>
      <c r="Q42">
        <v>13</v>
      </c>
      <c r="R42">
        <v>60</v>
      </c>
    </row>
    <row r="43" spans="1:18" x14ac:dyDescent="0.25">
      <c r="A43" t="s">
        <v>114</v>
      </c>
      <c r="B43" t="s">
        <v>115</v>
      </c>
      <c r="C43">
        <v>23</v>
      </c>
      <c r="D43" t="s">
        <v>45</v>
      </c>
      <c r="E43" t="s">
        <v>51</v>
      </c>
      <c r="F43">
        <v>1312.78</v>
      </c>
      <c r="G43">
        <v>2</v>
      </c>
      <c r="H43" t="s">
        <v>36</v>
      </c>
      <c r="I43">
        <v>10</v>
      </c>
      <c r="J43">
        <v>2</v>
      </c>
      <c r="K43" t="str">
        <f t="shared" si="0"/>
        <v>Regular cust</v>
      </c>
      <c r="L43" t="s">
        <v>552</v>
      </c>
      <c r="M43" t="s">
        <v>11</v>
      </c>
      <c r="N43">
        <v>0.14000000000000001</v>
      </c>
      <c r="O43">
        <v>300000</v>
      </c>
      <c r="P43">
        <v>80</v>
      </c>
      <c r="Q43">
        <v>12</v>
      </c>
      <c r="R43">
        <v>70</v>
      </c>
    </row>
    <row r="44" spans="1:18" x14ac:dyDescent="0.25">
      <c r="A44" t="s">
        <v>116</v>
      </c>
      <c r="B44" t="s">
        <v>28</v>
      </c>
      <c r="C44">
        <v>45</v>
      </c>
      <c r="D44" t="s">
        <v>25</v>
      </c>
      <c r="E44" t="s">
        <v>35</v>
      </c>
      <c r="F44">
        <v>2966.63</v>
      </c>
      <c r="G44">
        <v>3</v>
      </c>
      <c r="H44" t="s">
        <v>36</v>
      </c>
      <c r="I44">
        <v>8</v>
      </c>
      <c r="J44">
        <v>2</v>
      </c>
      <c r="K44" t="str">
        <f t="shared" si="0"/>
        <v>Regular cust</v>
      </c>
      <c r="L44" t="s">
        <v>549</v>
      </c>
      <c r="M44" t="s">
        <v>11</v>
      </c>
      <c r="N44">
        <v>0.18</v>
      </c>
      <c r="O44">
        <v>450000</v>
      </c>
      <c r="P44">
        <v>80</v>
      </c>
      <c r="Q44">
        <v>15</v>
      </c>
      <c r="R44">
        <v>50</v>
      </c>
    </row>
    <row r="45" spans="1:18" x14ac:dyDescent="0.25">
      <c r="A45" t="s">
        <v>117</v>
      </c>
      <c r="B45" t="s">
        <v>118</v>
      </c>
      <c r="C45">
        <v>20</v>
      </c>
      <c r="D45" t="s">
        <v>34</v>
      </c>
      <c r="E45" t="s">
        <v>21</v>
      </c>
      <c r="F45">
        <v>1864.22</v>
      </c>
      <c r="G45">
        <v>3</v>
      </c>
      <c r="H45" t="s">
        <v>31</v>
      </c>
      <c r="I45">
        <v>8</v>
      </c>
      <c r="J45">
        <v>1</v>
      </c>
      <c r="K45" t="str">
        <f t="shared" si="0"/>
        <v>Regular cust</v>
      </c>
      <c r="L45" t="s">
        <v>543</v>
      </c>
      <c r="M45" t="s">
        <v>548</v>
      </c>
      <c r="N45">
        <v>0.1</v>
      </c>
      <c r="O45">
        <v>560000</v>
      </c>
      <c r="P45">
        <v>50</v>
      </c>
      <c r="Q45">
        <v>13</v>
      </c>
      <c r="R45">
        <v>60</v>
      </c>
    </row>
    <row r="46" spans="1:18" x14ac:dyDescent="0.25">
      <c r="A46" t="s">
        <v>119</v>
      </c>
      <c r="B46" t="s">
        <v>120</v>
      </c>
      <c r="C46">
        <v>59</v>
      </c>
      <c r="D46" t="s">
        <v>45</v>
      </c>
      <c r="E46" t="s">
        <v>48</v>
      </c>
      <c r="F46">
        <v>2967.96</v>
      </c>
      <c r="G46">
        <v>4</v>
      </c>
      <c r="H46" t="s">
        <v>36</v>
      </c>
      <c r="I46">
        <v>3</v>
      </c>
      <c r="J46">
        <v>1</v>
      </c>
      <c r="K46" t="str">
        <f t="shared" si="0"/>
        <v>Regular cust</v>
      </c>
      <c r="L46" t="s">
        <v>551</v>
      </c>
      <c r="M46" t="s">
        <v>11</v>
      </c>
      <c r="N46">
        <v>0.05</v>
      </c>
      <c r="O46">
        <v>400000</v>
      </c>
      <c r="P46">
        <v>80</v>
      </c>
      <c r="Q46">
        <v>7</v>
      </c>
      <c r="R46">
        <v>40</v>
      </c>
    </row>
    <row r="47" spans="1:18" x14ac:dyDescent="0.25">
      <c r="A47" t="s">
        <v>121</v>
      </c>
      <c r="B47" t="s">
        <v>122</v>
      </c>
      <c r="C47">
        <v>37</v>
      </c>
      <c r="D47" t="s">
        <v>34</v>
      </c>
      <c r="E47" t="s">
        <v>26</v>
      </c>
      <c r="F47">
        <v>3883.55</v>
      </c>
      <c r="G47">
        <v>5</v>
      </c>
      <c r="H47" t="s">
        <v>22</v>
      </c>
      <c r="I47">
        <v>1</v>
      </c>
      <c r="J47">
        <v>4</v>
      </c>
      <c r="K47" t="str">
        <f t="shared" si="0"/>
        <v>Priority cust</v>
      </c>
      <c r="L47" t="s">
        <v>545</v>
      </c>
      <c r="M47" t="s">
        <v>544</v>
      </c>
      <c r="N47">
        <v>0.12</v>
      </c>
      <c r="O47">
        <v>240000</v>
      </c>
      <c r="P47">
        <v>31</v>
      </c>
      <c r="Q47">
        <v>14</v>
      </c>
      <c r="R47">
        <v>30</v>
      </c>
    </row>
    <row r="48" spans="1:18" x14ac:dyDescent="0.25">
      <c r="A48" t="s">
        <v>123</v>
      </c>
      <c r="B48" t="s">
        <v>124</v>
      </c>
      <c r="C48">
        <v>29</v>
      </c>
      <c r="D48" t="s">
        <v>45</v>
      </c>
      <c r="E48" t="s">
        <v>26</v>
      </c>
      <c r="F48">
        <v>1405.75</v>
      </c>
      <c r="G48">
        <v>1</v>
      </c>
      <c r="H48" t="s">
        <v>39</v>
      </c>
      <c r="I48">
        <v>3</v>
      </c>
      <c r="J48">
        <v>1</v>
      </c>
      <c r="K48" t="str">
        <f t="shared" si="0"/>
        <v>Regular cust</v>
      </c>
      <c r="L48" t="s">
        <v>545</v>
      </c>
      <c r="M48" t="s">
        <v>39</v>
      </c>
      <c r="N48">
        <v>0.12</v>
      </c>
      <c r="O48">
        <v>240000</v>
      </c>
      <c r="P48">
        <v>50</v>
      </c>
      <c r="Q48">
        <v>14</v>
      </c>
      <c r="R48">
        <v>30</v>
      </c>
    </row>
    <row r="49" spans="1:18" x14ac:dyDescent="0.25">
      <c r="A49" t="s">
        <v>125</v>
      </c>
      <c r="B49" t="s">
        <v>126</v>
      </c>
      <c r="C49">
        <v>47</v>
      </c>
      <c r="D49" t="s">
        <v>54</v>
      </c>
      <c r="E49" t="s">
        <v>35</v>
      </c>
      <c r="F49">
        <v>4299.9399999999996</v>
      </c>
      <c r="G49">
        <v>5</v>
      </c>
      <c r="H49" t="s">
        <v>31</v>
      </c>
      <c r="I49">
        <v>1</v>
      </c>
      <c r="J49">
        <v>3</v>
      </c>
      <c r="K49" t="str">
        <f t="shared" si="0"/>
        <v>Regular cust</v>
      </c>
      <c r="L49" t="s">
        <v>549</v>
      </c>
      <c r="M49" t="s">
        <v>548</v>
      </c>
      <c r="N49">
        <v>0.18</v>
      </c>
      <c r="O49">
        <v>450000</v>
      </c>
      <c r="P49">
        <v>50</v>
      </c>
      <c r="Q49">
        <v>15</v>
      </c>
      <c r="R49">
        <v>50</v>
      </c>
    </row>
    <row r="50" spans="1:18" x14ac:dyDescent="0.25">
      <c r="A50" t="s">
        <v>127</v>
      </c>
      <c r="B50" t="s">
        <v>128</v>
      </c>
      <c r="C50">
        <v>59</v>
      </c>
      <c r="D50" t="s">
        <v>45</v>
      </c>
      <c r="E50" t="s">
        <v>51</v>
      </c>
      <c r="F50">
        <v>860.99</v>
      </c>
      <c r="G50">
        <v>1</v>
      </c>
      <c r="H50" t="s">
        <v>42</v>
      </c>
      <c r="I50">
        <v>2</v>
      </c>
      <c r="J50">
        <v>5</v>
      </c>
      <c r="K50" t="str">
        <f t="shared" si="0"/>
        <v>Regular cust</v>
      </c>
      <c r="L50" t="s">
        <v>552</v>
      </c>
      <c r="M50" t="s">
        <v>550</v>
      </c>
      <c r="N50">
        <v>0.14000000000000001</v>
      </c>
      <c r="O50">
        <v>300000</v>
      </c>
      <c r="P50">
        <v>90</v>
      </c>
      <c r="Q50">
        <v>12</v>
      </c>
      <c r="R50">
        <v>70</v>
      </c>
    </row>
    <row r="51" spans="1:18" x14ac:dyDescent="0.25">
      <c r="A51" t="s">
        <v>129</v>
      </c>
      <c r="B51" t="s">
        <v>130</v>
      </c>
      <c r="C51">
        <v>34</v>
      </c>
      <c r="D51" t="s">
        <v>34</v>
      </c>
      <c r="E51" t="s">
        <v>35</v>
      </c>
      <c r="F51">
        <v>2519.5500000000002</v>
      </c>
      <c r="G51">
        <v>4</v>
      </c>
      <c r="H51" t="s">
        <v>31</v>
      </c>
      <c r="I51">
        <v>4</v>
      </c>
      <c r="J51">
        <v>2</v>
      </c>
      <c r="K51" t="str">
        <f t="shared" si="0"/>
        <v>Regular cust</v>
      </c>
      <c r="L51" t="s">
        <v>549</v>
      </c>
      <c r="M51" t="s">
        <v>548</v>
      </c>
      <c r="N51">
        <v>0.18</v>
      </c>
      <c r="O51">
        <v>450000</v>
      </c>
      <c r="P51">
        <v>50</v>
      </c>
      <c r="Q51">
        <v>15</v>
      </c>
      <c r="R51">
        <v>50</v>
      </c>
    </row>
    <row r="52" spans="1:18" x14ac:dyDescent="0.25">
      <c r="A52" t="s">
        <v>131</v>
      </c>
      <c r="B52" t="s">
        <v>115</v>
      </c>
      <c r="C52">
        <v>31</v>
      </c>
      <c r="D52" t="s">
        <v>20</v>
      </c>
      <c r="E52" t="s">
        <v>35</v>
      </c>
      <c r="F52">
        <v>746.83</v>
      </c>
      <c r="G52">
        <v>4</v>
      </c>
      <c r="H52" t="s">
        <v>42</v>
      </c>
      <c r="I52">
        <v>5</v>
      </c>
      <c r="J52">
        <v>2</v>
      </c>
      <c r="K52" t="str">
        <f t="shared" si="0"/>
        <v>Regular cust</v>
      </c>
      <c r="L52" t="s">
        <v>549</v>
      </c>
      <c r="M52" t="s">
        <v>550</v>
      </c>
      <c r="N52">
        <v>0.18</v>
      </c>
      <c r="O52">
        <v>450000</v>
      </c>
      <c r="P52">
        <v>90</v>
      </c>
      <c r="Q52">
        <v>15</v>
      </c>
      <c r="R52">
        <v>50</v>
      </c>
    </row>
    <row r="53" spans="1:18" x14ac:dyDescent="0.25">
      <c r="A53" t="s">
        <v>132</v>
      </c>
      <c r="B53" t="s">
        <v>133</v>
      </c>
      <c r="C53">
        <v>28</v>
      </c>
      <c r="D53" t="s">
        <v>34</v>
      </c>
      <c r="E53" t="s">
        <v>21</v>
      </c>
      <c r="F53">
        <v>3945.76</v>
      </c>
      <c r="G53">
        <v>4</v>
      </c>
      <c r="H53" t="s">
        <v>22</v>
      </c>
      <c r="I53">
        <v>7</v>
      </c>
      <c r="J53">
        <v>2</v>
      </c>
      <c r="K53" t="str">
        <f t="shared" si="0"/>
        <v>Regular cust</v>
      </c>
      <c r="L53" t="s">
        <v>543</v>
      </c>
      <c r="M53" t="s">
        <v>544</v>
      </c>
      <c r="N53">
        <v>0.1</v>
      </c>
      <c r="O53">
        <v>560000</v>
      </c>
      <c r="P53">
        <v>31</v>
      </c>
      <c r="Q53">
        <v>13</v>
      </c>
      <c r="R53">
        <v>60</v>
      </c>
    </row>
    <row r="54" spans="1:18" x14ac:dyDescent="0.25">
      <c r="A54" t="s">
        <v>134</v>
      </c>
      <c r="B54" t="s">
        <v>135</v>
      </c>
      <c r="C54">
        <v>29</v>
      </c>
      <c r="D54" t="s">
        <v>54</v>
      </c>
      <c r="E54" t="s">
        <v>48</v>
      </c>
      <c r="F54">
        <v>4685.42</v>
      </c>
      <c r="G54">
        <v>1</v>
      </c>
      <c r="H54" t="s">
        <v>36</v>
      </c>
      <c r="I54">
        <v>7</v>
      </c>
      <c r="J54">
        <v>1</v>
      </c>
      <c r="K54" t="str">
        <f t="shared" si="0"/>
        <v>Regular cust</v>
      </c>
      <c r="L54" t="s">
        <v>551</v>
      </c>
      <c r="M54" t="s">
        <v>11</v>
      </c>
      <c r="N54">
        <v>0.05</v>
      </c>
      <c r="O54">
        <v>400000</v>
      </c>
      <c r="P54">
        <v>80</v>
      </c>
      <c r="Q54">
        <v>7</v>
      </c>
      <c r="R54">
        <v>40</v>
      </c>
    </row>
    <row r="55" spans="1:18" x14ac:dyDescent="0.25">
      <c r="A55" t="s">
        <v>136</v>
      </c>
      <c r="B55" t="s">
        <v>137</v>
      </c>
      <c r="C55">
        <v>26</v>
      </c>
      <c r="D55" t="s">
        <v>25</v>
      </c>
      <c r="E55" t="s">
        <v>51</v>
      </c>
      <c r="F55">
        <v>3191.35</v>
      </c>
      <c r="G55">
        <v>1</v>
      </c>
      <c r="H55" t="s">
        <v>39</v>
      </c>
      <c r="I55">
        <v>9</v>
      </c>
      <c r="J55">
        <v>5</v>
      </c>
      <c r="K55" t="str">
        <f t="shared" si="0"/>
        <v>Regular cust</v>
      </c>
      <c r="L55" t="s">
        <v>552</v>
      </c>
      <c r="M55" t="s">
        <v>39</v>
      </c>
      <c r="N55">
        <v>0.14000000000000001</v>
      </c>
      <c r="O55">
        <v>300000</v>
      </c>
      <c r="P55">
        <v>50</v>
      </c>
      <c r="Q55">
        <v>12</v>
      </c>
      <c r="R55">
        <v>70</v>
      </c>
    </row>
    <row r="56" spans="1:18" x14ac:dyDescent="0.25">
      <c r="A56" t="s">
        <v>138</v>
      </c>
      <c r="B56" t="s">
        <v>139</v>
      </c>
      <c r="C56">
        <v>46</v>
      </c>
      <c r="D56" t="s">
        <v>20</v>
      </c>
      <c r="E56" t="s">
        <v>30</v>
      </c>
      <c r="F56">
        <v>3943.23</v>
      </c>
      <c r="G56">
        <v>1</v>
      </c>
      <c r="H56" t="s">
        <v>22</v>
      </c>
      <c r="I56">
        <v>2</v>
      </c>
      <c r="J56">
        <v>3</v>
      </c>
      <c r="K56" t="str">
        <f t="shared" si="0"/>
        <v>Regular cust</v>
      </c>
      <c r="L56" t="s">
        <v>547</v>
      </c>
      <c r="M56" t="s">
        <v>544</v>
      </c>
      <c r="N56">
        <v>0.12</v>
      </c>
      <c r="O56">
        <v>350000</v>
      </c>
      <c r="P56">
        <v>31</v>
      </c>
      <c r="Q56">
        <v>12</v>
      </c>
      <c r="R56">
        <v>100</v>
      </c>
    </row>
    <row r="57" spans="1:18" x14ac:dyDescent="0.25">
      <c r="A57" t="s">
        <v>140</v>
      </c>
      <c r="B57" t="s">
        <v>141</v>
      </c>
      <c r="C57">
        <v>37</v>
      </c>
      <c r="D57" t="s">
        <v>20</v>
      </c>
      <c r="E57" t="s">
        <v>21</v>
      </c>
      <c r="F57">
        <v>3257.33</v>
      </c>
      <c r="G57">
        <v>2</v>
      </c>
      <c r="H57" t="s">
        <v>31</v>
      </c>
      <c r="I57">
        <v>10</v>
      </c>
      <c r="J57">
        <v>5</v>
      </c>
      <c r="K57" t="str">
        <f t="shared" si="0"/>
        <v>Regular cust</v>
      </c>
      <c r="L57" t="s">
        <v>543</v>
      </c>
      <c r="M57" t="s">
        <v>548</v>
      </c>
      <c r="N57">
        <v>0.1</v>
      </c>
      <c r="O57">
        <v>560000</v>
      </c>
      <c r="P57">
        <v>50</v>
      </c>
      <c r="Q57">
        <v>13</v>
      </c>
      <c r="R57">
        <v>60</v>
      </c>
    </row>
    <row r="58" spans="1:18" x14ac:dyDescent="0.25">
      <c r="A58" t="s">
        <v>142</v>
      </c>
      <c r="B58" t="s">
        <v>143</v>
      </c>
      <c r="C58">
        <v>19</v>
      </c>
      <c r="D58" t="s">
        <v>20</v>
      </c>
      <c r="E58" t="s">
        <v>26</v>
      </c>
      <c r="F58">
        <v>2089.09</v>
      </c>
      <c r="G58">
        <v>5</v>
      </c>
      <c r="H58" t="s">
        <v>22</v>
      </c>
      <c r="I58">
        <v>1</v>
      </c>
      <c r="J58">
        <v>3</v>
      </c>
      <c r="K58" t="str">
        <f t="shared" si="0"/>
        <v>Regular cust</v>
      </c>
      <c r="L58" t="s">
        <v>545</v>
      </c>
      <c r="M58" t="s">
        <v>544</v>
      </c>
      <c r="N58">
        <v>0.12</v>
      </c>
      <c r="O58">
        <v>240000</v>
      </c>
      <c r="P58">
        <v>31</v>
      </c>
      <c r="Q58">
        <v>14</v>
      </c>
      <c r="R58">
        <v>30</v>
      </c>
    </row>
    <row r="59" spans="1:18" x14ac:dyDescent="0.25">
      <c r="A59" t="s">
        <v>144</v>
      </c>
      <c r="B59" t="s">
        <v>145</v>
      </c>
      <c r="C59">
        <v>30</v>
      </c>
      <c r="D59" t="s">
        <v>54</v>
      </c>
      <c r="E59" t="s">
        <v>30</v>
      </c>
      <c r="F59">
        <v>992.84</v>
      </c>
      <c r="G59">
        <v>4</v>
      </c>
      <c r="H59" t="s">
        <v>36</v>
      </c>
      <c r="I59">
        <v>4</v>
      </c>
      <c r="J59">
        <v>1</v>
      </c>
      <c r="K59" t="str">
        <f t="shared" si="0"/>
        <v>Regular cust</v>
      </c>
      <c r="L59" t="s">
        <v>547</v>
      </c>
      <c r="M59" t="s">
        <v>11</v>
      </c>
      <c r="N59">
        <v>0.12</v>
      </c>
      <c r="O59">
        <v>350000</v>
      </c>
      <c r="P59">
        <v>80</v>
      </c>
      <c r="Q59">
        <v>12</v>
      </c>
      <c r="R59">
        <v>100</v>
      </c>
    </row>
    <row r="60" spans="1:18" x14ac:dyDescent="0.25">
      <c r="A60" t="s">
        <v>146</v>
      </c>
      <c r="B60" t="s">
        <v>28</v>
      </c>
      <c r="C60">
        <v>37</v>
      </c>
      <c r="D60" t="s">
        <v>54</v>
      </c>
      <c r="E60" t="s">
        <v>21</v>
      </c>
      <c r="F60">
        <v>1799.69</v>
      </c>
      <c r="G60">
        <v>5</v>
      </c>
      <c r="H60" t="s">
        <v>39</v>
      </c>
      <c r="I60">
        <v>2</v>
      </c>
      <c r="J60">
        <v>2</v>
      </c>
      <c r="K60" t="str">
        <f t="shared" si="0"/>
        <v>Regular cust</v>
      </c>
      <c r="L60" t="s">
        <v>543</v>
      </c>
      <c r="M60" t="s">
        <v>39</v>
      </c>
      <c r="N60">
        <v>0.1</v>
      </c>
      <c r="O60">
        <v>560000</v>
      </c>
      <c r="P60">
        <v>50</v>
      </c>
      <c r="Q60">
        <v>13</v>
      </c>
      <c r="R60">
        <v>60</v>
      </c>
    </row>
    <row r="61" spans="1:18" x14ac:dyDescent="0.25">
      <c r="A61" t="s">
        <v>147</v>
      </c>
      <c r="B61" t="s">
        <v>148</v>
      </c>
      <c r="C61">
        <v>40</v>
      </c>
      <c r="D61" t="s">
        <v>29</v>
      </c>
      <c r="E61" t="s">
        <v>21</v>
      </c>
      <c r="F61">
        <v>307.61</v>
      </c>
      <c r="G61">
        <v>1</v>
      </c>
      <c r="H61" t="s">
        <v>31</v>
      </c>
      <c r="I61">
        <v>4</v>
      </c>
      <c r="J61">
        <v>3</v>
      </c>
      <c r="K61" t="str">
        <f t="shared" si="0"/>
        <v>Regular cust</v>
      </c>
      <c r="L61" t="s">
        <v>543</v>
      </c>
      <c r="M61" t="s">
        <v>548</v>
      </c>
      <c r="N61">
        <v>0.1</v>
      </c>
      <c r="O61">
        <v>560000</v>
      </c>
      <c r="P61">
        <v>50</v>
      </c>
      <c r="Q61">
        <v>13</v>
      </c>
      <c r="R61">
        <v>60</v>
      </c>
    </row>
    <row r="62" spans="1:18" x14ac:dyDescent="0.25">
      <c r="A62" t="s">
        <v>149</v>
      </c>
      <c r="B62" t="s">
        <v>150</v>
      </c>
      <c r="C62">
        <v>34</v>
      </c>
      <c r="D62" t="s">
        <v>20</v>
      </c>
      <c r="E62" t="s">
        <v>35</v>
      </c>
      <c r="F62">
        <v>2957.68</v>
      </c>
      <c r="G62">
        <v>4</v>
      </c>
      <c r="H62" t="s">
        <v>39</v>
      </c>
      <c r="I62">
        <v>1</v>
      </c>
      <c r="J62">
        <v>1</v>
      </c>
      <c r="K62" t="str">
        <f t="shared" si="0"/>
        <v>Regular cust</v>
      </c>
      <c r="L62" t="s">
        <v>549</v>
      </c>
      <c r="M62" t="s">
        <v>39</v>
      </c>
      <c r="N62">
        <v>0.18</v>
      </c>
      <c r="O62">
        <v>450000</v>
      </c>
      <c r="P62">
        <v>50</v>
      </c>
      <c r="Q62">
        <v>15</v>
      </c>
      <c r="R62">
        <v>50</v>
      </c>
    </row>
    <row r="63" spans="1:18" x14ac:dyDescent="0.25">
      <c r="A63" t="s">
        <v>151</v>
      </c>
      <c r="B63" t="s">
        <v>152</v>
      </c>
      <c r="C63">
        <v>42</v>
      </c>
      <c r="D63" t="s">
        <v>29</v>
      </c>
      <c r="E63" t="s">
        <v>48</v>
      </c>
      <c r="F63">
        <v>4901.13</v>
      </c>
      <c r="G63">
        <v>1</v>
      </c>
      <c r="H63" t="s">
        <v>22</v>
      </c>
      <c r="I63">
        <v>1</v>
      </c>
      <c r="J63">
        <v>5</v>
      </c>
      <c r="K63" t="str">
        <f t="shared" si="0"/>
        <v>Regular cust</v>
      </c>
      <c r="L63" t="s">
        <v>551</v>
      </c>
      <c r="M63" t="s">
        <v>544</v>
      </c>
      <c r="N63">
        <v>0.05</v>
      </c>
      <c r="O63">
        <v>400000</v>
      </c>
      <c r="P63">
        <v>31</v>
      </c>
      <c r="Q63">
        <v>7</v>
      </c>
      <c r="R63">
        <v>40</v>
      </c>
    </row>
    <row r="64" spans="1:18" x14ac:dyDescent="0.25">
      <c r="A64" t="s">
        <v>153</v>
      </c>
      <c r="B64" t="s">
        <v>66</v>
      </c>
      <c r="C64">
        <v>50</v>
      </c>
      <c r="D64" t="s">
        <v>54</v>
      </c>
      <c r="E64" t="s">
        <v>30</v>
      </c>
      <c r="F64">
        <v>3886.43</v>
      </c>
      <c r="G64">
        <v>2</v>
      </c>
      <c r="H64" t="s">
        <v>39</v>
      </c>
      <c r="I64">
        <v>2</v>
      </c>
      <c r="J64">
        <v>1</v>
      </c>
      <c r="K64" t="str">
        <f t="shared" si="0"/>
        <v>Regular cust</v>
      </c>
      <c r="L64" t="s">
        <v>547</v>
      </c>
      <c r="M64" t="s">
        <v>39</v>
      </c>
      <c r="N64">
        <v>0.12</v>
      </c>
      <c r="O64">
        <v>350000</v>
      </c>
      <c r="P64">
        <v>50</v>
      </c>
      <c r="Q64">
        <v>12</v>
      </c>
      <c r="R64">
        <v>100</v>
      </c>
    </row>
    <row r="65" spans="1:18" x14ac:dyDescent="0.25">
      <c r="A65" t="s">
        <v>154</v>
      </c>
      <c r="B65" t="s">
        <v>72</v>
      </c>
      <c r="C65">
        <v>40</v>
      </c>
      <c r="D65" t="s">
        <v>20</v>
      </c>
      <c r="E65" t="s">
        <v>48</v>
      </c>
      <c r="F65">
        <v>4264.84</v>
      </c>
      <c r="G65">
        <v>4</v>
      </c>
      <c r="H65" t="s">
        <v>22</v>
      </c>
      <c r="I65">
        <v>8</v>
      </c>
      <c r="J65">
        <v>3</v>
      </c>
      <c r="K65" t="str">
        <f t="shared" si="0"/>
        <v>Regular cust</v>
      </c>
      <c r="L65" t="s">
        <v>551</v>
      </c>
      <c r="M65" t="s">
        <v>544</v>
      </c>
      <c r="N65">
        <v>0.05</v>
      </c>
      <c r="O65">
        <v>400000</v>
      </c>
      <c r="P65">
        <v>31</v>
      </c>
      <c r="Q65">
        <v>7</v>
      </c>
      <c r="R65">
        <v>40</v>
      </c>
    </row>
    <row r="66" spans="1:18" x14ac:dyDescent="0.25">
      <c r="A66" t="s">
        <v>155</v>
      </c>
      <c r="B66" t="s">
        <v>156</v>
      </c>
      <c r="C66">
        <v>53</v>
      </c>
      <c r="D66" t="s">
        <v>29</v>
      </c>
      <c r="E66" t="s">
        <v>26</v>
      </c>
      <c r="F66">
        <v>2995.05</v>
      </c>
      <c r="G66">
        <v>2</v>
      </c>
      <c r="H66" t="s">
        <v>36</v>
      </c>
      <c r="I66">
        <v>10</v>
      </c>
      <c r="J66">
        <v>3</v>
      </c>
      <c r="K66" t="str">
        <f t="shared" si="0"/>
        <v>Regular cust</v>
      </c>
      <c r="L66" t="s">
        <v>545</v>
      </c>
      <c r="M66" t="s">
        <v>11</v>
      </c>
      <c r="N66">
        <v>0.12</v>
      </c>
      <c r="O66">
        <v>240000</v>
      </c>
      <c r="P66">
        <v>80</v>
      </c>
      <c r="Q66">
        <v>14</v>
      </c>
      <c r="R66">
        <v>30</v>
      </c>
    </row>
    <row r="67" spans="1:18" x14ac:dyDescent="0.25">
      <c r="A67" t="s">
        <v>157</v>
      </c>
      <c r="B67" t="s">
        <v>158</v>
      </c>
      <c r="C67">
        <v>56</v>
      </c>
      <c r="D67" t="s">
        <v>34</v>
      </c>
      <c r="E67" t="s">
        <v>35</v>
      </c>
      <c r="F67">
        <v>576.41</v>
      </c>
      <c r="G67">
        <v>2</v>
      </c>
      <c r="H67" t="s">
        <v>39</v>
      </c>
      <c r="I67">
        <v>3</v>
      </c>
      <c r="J67">
        <v>2</v>
      </c>
      <c r="K67" t="str">
        <f t="shared" ref="K67:K130" si="1">IF(AND(J67&gt;=4,G67&gt;=3),"Priority cust","Regular cust")</f>
        <v>Regular cust</v>
      </c>
      <c r="L67" t="s">
        <v>549</v>
      </c>
      <c r="M67" t="s">
        <v>39</v>
      </c>
      <c r="N67">
        <v>0.18</v>
      </c>
      <c r="O67">
        <v>450000</v>
      </c>
      <c r="P67">
        <v>50</v>
      </c>
      <c r="Q67">
        <v>15</v>
      </c>
      <c r="R67">
        <v>50</v>
      </c>
    </row>
    <row r="68" spans="1:18" x14ac:dyDescent="0.25">
      <c r="A68" t="s">
        <v>159</v>
      </c>
      <c r="B68" t="s">
        <v>160</v>
      </c>
      <c r="C68">
        <v>60</v>
      </c>
      <c r="D68" t="s">
        <v>54</v>
      </c>
      <c r="E68" t="s">
        <v>26</v>
      </c>
      <c r="F68">
        <v>734.61</v>
      </c>
      <c r="G68">
        <v>5</v>
      </c>
      <c r="H68" t="s">
        <v>22</v>
      </c>
      <c r="I68">
        <v>6</v>
      </c>
      <c r="J68">
        <v>3</v>
      </c>
      <c r="K68" t="str">
        <f t="shared" si="1"/>
        <v>Regular cust</v>
      </c>
      <c r="L68" t="s">
        <v>545</v>
      </c>
      <c r="M68" t="s">
        <v>544</v>
      </c>
      <c r="N68">
        <v>0.12</v>
      </c>
      <c r="O68">
        <v>240000</v>
      </c>
      <c r="P68">
        <v>31</v>
      </c>
      <c r="Q68">
        <v>14</v>
      </c>
      <c r="R68">
        <v>30</v>
      </c>
    </row>
    <row r="69" spans="1:18" x14ac:dyDescent="0.25">
      <c r="A69" t="s">
        <v>161</v>
      </c>
      <c r="B69" t="s">
        <v>162</v>
      </c>
      <c r="C69">
        <v>44</v>
      </c>
      <c r="D69" t="s">
        <v>25</v>
      </c>
      <c r="E69" t="s">
        <v>35</v>
      </c>
      <c r="F69">
        <v>1752.95</v>
      </c>
      <c r="G69">
        <v>2</v>
      </c>
      <c r="H69" t="s">
        <v>31</v>
      </c>
      <c r="I69">
        <v>3</v>
      </c>
      <c r="J69">
        <v>3</v>
      </c>
      <c r="K69" t="str">
        <f t="shared" si="1"/>
        <v>Regular cust</v>
      </c>
      <c r="L69" t="s">
        <v>549</v>
      </c>
      <c r="M69" t="s">
        <v>548</v>
      </c>
      <c r="N69">
        <v>0.18</v>
      </c>
      <c r="O69">
        <v>450000</v>
      </c>
      <c r="P69">
        <v>50</v>
      </c>
      <c r="Q69">
        <v>15</v>
      </c>
      <c r="R69">
        <v>50</v>
      </c>
    </row>
    <row r="70" spans="1:18" x14ac:dyDescent="0.25">
      <c r="A70" t="s">
        <v>163</v>
      </c>
      <c r="B70" t="s">
        <v>164</v>
      </c>
      <c r="C70">
        <v>41</v>
      </c>
      <c r="D70" t="s">
        <v>20</v>
      </c>
      <c r="E70" t="s">
        <v>48</v>
      </c>
      <c r="F70">
        <v>4323.3599999999997</v>
      </c>
      <c r="G70">
        <v>4</v>
      </c>
      <c r="H70" t="s">
        <v>31</v>
      </c>
      <c r="I70">
        <v>5</v>
      </c>
      <c r="J70">
        <v>1</v>
      </c>
      <c r="K70" t="str">
        <f t="shared" si="1"/>
        <v>Regular cust</v>
      </c>
      <c r="L70" t="s">
        <v>551</v>
      </c>
      <c r="M70" t="s">
        <v>548</v>
      </c>
      <c r="N70">
        <v>0.05</v>
      </c>
      <c r="O70">
        <v>400000</v>
      </c>
      <c r="P70">
        <v>50</v>
      </c>
      <c r="Q70">
        <v>7</v>
      </c>
      <c r="R70">
        <v>40</v>
      </c>
    </row>
    <row r="71" spans="1:18" x14ac:dyDescent="0.25">
      <c r="A71" t="s">
        <v>165</v>
      </c>
      <c r="B71" t="s">
        <v>166</v>
      </c>
      <c r="C71">
        <v>33</v>
      </c>
      <c r="D71" t="s">
        <v>45</v>
      </c>
      <c r="E71" t="s">
        <v>30</v>
      </c>
      <c r="F71">
        <v>2300.69</v>
      </c>
      <c r="G71">
        <v>5</v>
      </c>
      <c r="H71" t="s">
        <v>22</v>
      </c>
      <c r="I71">
        <v>4</v>
      </c>
      <c r="J71">
        <v>5</v>
      </c>
      <c r="K71" t="str">
        <f t="shared" si="1"/>
        <v>Priority cust</v>
      </c>
      <c r="L71" t="s">
        <v>547</v>
      </c>
      <c r="M71" t="s">
        <v>544</v>
      </c>
      <c r="N71">
        <v>0.12</v>
      </c>
      <c r="O71">
        <v>350000</v>
      </c>
      <c r="P71">
        <v>31</v>
      </c>
      <c r="Q71">
        <v>12</v>
      </c>
      <c r="R71">
        <v>100</v>
      </c>
    </row>
    <row r="72" spans="1:18" x14ac:dyDescent="0.25">
      <c r="A72" t="s">
        <v>167</v>
      </c>
      <c r="B72" t="s">
        <v>168</v>
      </c>
      <c r="C72">
        <v>30</v>
      </c>
      <c r="D72" t="s">
        <v>29</v>
      </c>
      <c r="E72" t="s">
        <v>48</v>
      </c>
      <c r="F72">
        <v>2328.27</v>
      </c>
      <c r="G72">
        <v>4</v>
      </c>
      <c r="H72" t="s">
        <v>42</v>
      </c>
      <c r="I72">
        <v>4</v>
      </c>
      <c r="J72">
        <v>1</v>
      </c>
      <c r="K72" t="str">
        <f t="shared" si="1"/>
        <v>Regular cust</v>
      </c>
      <c r="L72" t="s">
        <v>551</v>
      </c>
      <c r="M72" t="s">
        <v>550</v>
      </c>
      <c r="N72">
        <v>0.05</v>
      </c>
      <c r="O72">
        <v>400000</v>
      </c>
      <c r="P72">
        <v>90</v>
      </c>
      <c r="Q72">
        <v>7</v>
      </c>
      <c r="R72">
        <v>40</v>
      </c>
    </row>
    <row r="73" spans="1:18" x14ac:dyDescent="0.25">
      <c r="A73" t="s">
        <v>169</v>
      </c>
      <c r="B73" t="s">
        <v>170</v>
      </c>
      <c r="C73">
        <v>53</v>
      </c>
      <c r="D73" t="s">
        <v>20</v>
      </c>
      <c r="E73" t="s">
        <v>35</v>
      </c>
      <c r="F73">
        <v>338.03</v>
      </c>
      <c r="G73">
        <v>5</v>
      </c>
      <c r="H73" t="s">
        <v>22</v>
      </c>
      <c r="I73">
        <v>8</v>
      </c>
      <c r="J73">
        <v>1</v>
      </c>
      <c r="K73" t="str">
        <f t="shared" si="1"/>
        <v>Regular cust</v>
      </c>
      <c r="L73" t="s">
        <v>549</v>
      </c>
      <c r="M73" t="s">
        <v>544</v>
      </c>
      <c r="N73">
        <v>0.18</v>
      </c>
      <c r="O73">
        <v>450000</v>
      </c>
      <c r="P73">
        <v>31</v>
      </c>
      <c r="Q73">
        <v>15</v>
      </c>
      <c r="R73">
        <v>50</v>
      </c>
    </row>
    <row r="74" spans="1:18" x14ac:dyDescent="0.25">
      <c r="A74" t="s">
        <v>171</v>
      </c>
      <c r="B74" t="s">
        <v>82</v>
      </c>
      <c r="C74">
        <v>42</v>
      </c>
      <c r="D74" t="s">
        <v>25</v>
      </c>
      <c r="E74" t="s">
        <v>21</v>
      </c>
      <c r="F74">
        <v>4866.62</v>
      </c>
      <c r="G74">
        <v>5</v>
      </c>
      <c r="H74" t="s">
        <v>42</v>
      </c>
      <c r="I74">
        <v>8</v>
      </c>
      <c r="J74">
        <v>1</v>
      </c>
      <c r="K74" t="str">
        <f t="shared" si="1"/>
        <v>Regular cust</v>
      </c>
      <c r="L74" t="s">
        <v>543</v>
      </c>
      <c r="M74" t="s">
        <v>550</v>
      </c>
      <c r="N74">
        <v>0.1</v>
      </c>
      <c r="O74">
        <v>560000</v>
      </c>
      <c r="P74">
        <v>90</v>
      </c>
      <c r="Q74">
        <v>13</v>
      </c>
      <c r="R74">
        <v>60</v>
      </c>
    </row>
    <row r="75" spans="1:18" x14ac:dyDescent="0.25">
      <c r="A75" t="s">
        <v>172</v>
      </c>
      <c r="B75" t="s">
        <v>173</v>
      </c>
      <c r="C75">
        <v>47</v>
      </c>
      <c r="D75" t="s">
        <v>29</v>
      </c>
      <c r="E75" t="s">
        <v>21</v>
      </c>
      <c r="F75">
        <v>4965.4399999999996</v>
      </c>
      <c r="G75">
        <v>5</v>
      </c>
      <c r="H75" t="s">
        <v>39</v>
      </c>
      <c r="I75">
        <v>2</v>
      </c>
      <c r="J75">
        <v>1</v>
      </c>
      <c r="K75" t="str">
        <f t="shared" si="1"/>
        <v>Regular cust</v>
      </c>
      <c r="L75" t="s">
        <v>543</v>
      </c>
      <c r="M75" t="s">
        <v>39</v>
      </c>
      <c r="N75">
        <v>0.1</v>
      </c>
      <c r="O75">
        <v>560000</v>
      </c>
      <c r="P75">
        <v>50</v>
      </c>
      <c r="Q75">
        <v>13</v>
      </c>
      <c r="R75">
        <v>60</v>
      </c>
    </row>
    <row r="76" spans="1:18" x14ac:dyDescent="0.25">
      <c r="A76" t="s">
        <v>174</v>
      </c>
      <c r="B76" t="s">
        <v>175</v>
      </c>
      <c r="C76">
        <v>34</v>
      </c>
      <c r="D76" t="s">
        <v>45</v>
      </c>
      <c r="E76" t="s">
        <v>30</v>
      </c>
      <c r="F76">
        <v>2752.84</v>
      </c>
      <c r="G76">
        <v>1</v>
      </c>
      <c r="H76" t="s">
        <v>39</v>
      </c>
      <c r="I76">
        <v>10</v>
      </c>
      <c r="J76">
        <v>1</v>
      </c>
      <c r="K76" t="str">
        <f t="shared" si="1"/>
        <v>Regular cust</v>
      </c>
      <c r="L76" t="s">
        <v>547</v>
      </c>
      <c r="M76" t="s">
        <v>39</v>
      </c>
      <c r="N76">
        <v>0.12</v>
      </c>
      <c r="O76">
        <v>350000</v>
      </c>
      <c r="P76">
        <v>50</v>
      </c>
      <c r="Q76">
        <v>12</v>
      </c>
      <c r="R76">
        <v>100</v>
      </c>
    </row>
    <row r="77" spans="1:18" x14ac:dyDescent="0.25">
      <c r="A77" t="s">
        <v>176</v>
      </c>
      <c r="B77" t="s">
        <v>177</v>
      </c>
      <c r="C77">
        <v>41</v>
      </c>
      <c r="D77" t="s">
        <v>25</v>
      </c>
      <c r="E77" t="s">
        <v>26</v>
      </c>
      <c r="F77">
        <v>1748.64</v>
      </c>
      <c r="G77">
        <v>3</v>
      </c>
      <c r="H77" t="s">
        <v>36</v>
      </c>
      <c r="I77">
        <v>6</v>
      </c>
      <c r="J77">
        <v>3</v>
      </c>
      <c r="K77" t="str">
        <f t="shared" si="1"/>
        <v>Regular cust</v>
      </c>
      <c r="L77" t="s">
        <v>545</v>
      </c>
      <c r="M77" t="s">
        <v>11</v>
      </c>
      <c r="N77">
        <v>0.12</v>
      </c>
      <c r="O77">
        <v>240000</v>
      </c>
      <c r="P77">
        <v>80</v>
      </c>
      <c r="Q77">
        <v>14</v>
      </c>
      <c r="R77">
        <v>30</v>
      </c>
    </row>
    <row r="78" spans="1:18" x14ac:dyDescent="0.25">
      <c r="A78" t="s">
        <v>178</v>
      </c>
      <c r="B78" t="s">
        <v>130</v>
      </c>
      <c r="C78">
        <v>32</v>
      </c>
      <c r="D78" t="s">
        <v>45</v>
      </c>
      <c r="E78" t="s">
        <v>35</v>
      </c>
      <c r="F78">
        <v>3639.41</v>
      </c>
      <c r="G78">
        <v>3</v>
      </c>
      <c r="H78" t="s">
        <v>31</v>
      </c>
      <c r="I78">
        <v>5</v>
      </c>
      <c r="J78">
        <v>4</v>
      </c>
      <c r="K78" t="str">
        <f t="shared" si="1"/>
        <v>Priority cust</v>
      </c>
      <c r="L78" t="s">
        <v>549</v>
      </c>
      <c r="M78" t="s">
        <v>548</v>
      </c>
      <c r="N78">
        <v>0.18</v>
      </c>
      <c r="O78">
        <v>450000</v>
      </c>
      <c r="P78">
        <v>50</v>
      </c>
      <c r="Q78">
        <v>15</v>
      </c>
      <c r="R78">
        <v>50</v>
      </c>
    </row>
    <row r="79" spans="1:18" x14ac:dyDescent="0.25">
      <c r="A79" t="s">
        <v>179</v>
      </c>
      <c r="B79" t="s">
        <v>38</v>
      </c>
      <c r="C79">
        <v>45</v>
      </c>
      <c r="D79" t="s">
        <v>25</v>
      </c>
      <c r="E79" t="s">
        <v>26</v>
      </c>
      <c r="F79">
        <v>1241.46</v>
      </c>
      <c r="G79">
        <v>5</v>
      </c>
      <c r="H79" t="s">
        <v>22</v>
      </c>
      <c r="I79">
        <v>6</v>
      </c>
      <c r="J79">
        <v>5</v>
      </c>
      <c r="K79" t="str">
        <f t="shared" si="1"/>
        <v>Priority cust</v>
      </c>
      <c r="L79" t="s">
        <v>545</v>
      </c>
      <c r="M79" t="s">
        <v>544</v>
      </c>
      <c r="N79">
        <v>0.12</v>
      </c>
      <c r="O79">
        <v>240000</v>
      </c>
      <c r="P79">
        <v>31</v>
      </c>
      <c r="Q79">
        <v>14</v>
      </c>
      <c r="R79">
        <v>30</v>
      </c>
    </row>
    <row r="80" spans="1:18" x14ac:dyDescent="0.25">
      <c r="A80" t="s">
        <v>180</v>
      </c>
      <c r="B80" t="s">
        <v>181</v>
      </c>
      <c r="C80">
        <v>26</v>
      </c>
      <c r="D80" t="s">
        <v>34</v>
      </c>
      <c r="E80" t="s">
        <v>51</v>
      </c>
      <c r="F80">
        <v>3999.22</v>
      </c>
      <c r="G80">
        <v>5</v>
      </c>
      <c r="H80" t="s">
        <v>22</v>
      </c>
      <c r="I80">
        <v>3</v>
      </c>
      <c r="J80">
        <v>3</v>
      </c>
      <c r="K80" t="str">
        <f t="shared" si="1"/>
        <v>Regular cust</v>
      </c>
      <c r="L80" t="s">
        <v>552</v>
      </c>
      <c r="M80" t="s">
        <v>544</v>
      </c>
      <c r="N80">
        <v>0.14000000000000001</v>
      </c>
      <c r="O80">
        <v>300000</v>
      </c>
      <c r="P80">
        <v>31</v>
      </c>
      <c r="Q80">
        <v>12</v>
      </c>
      <c r="R80">
        <v>70</v>
      </c>
    </row>
    <row r="81" spans="1:18" x14ac:dyDescent="0.25">
      <c r="A81" t="s">
        <v>182</v>
      </c>
      <c r="B81" t="s">
        <v>133</v>
      </c>
      <c r="C81">
        <v>41</v>
      </c>
      <c r="D81" t="s">
        <v>34</v>
      </c>
      <c r="E81" t="s">
        <v>35</v>
      </c>
      <c r="F81">
        <v>4477.59</v>
      </c>
      <c r="G81">
        <v>3</v>
      </c>
      <c r="H81" t="s">
        <v>22</v>
      </c>
      <c r="I81">
        <v>8</v>
      </c>
      <c r="J81">
        <v>1</v>
      </c>
      <c r="K81" t="str">
        <f t="shared" si="1"/>
        <v>Regular cust</v>
      </c>
      <c r="L81" t="s">
        <v>549</v>
      </c>
      <c r="M81" t="s">
        <v>544</v>
      </c>
      <c r="N81">
        <v>0.18</v>
      </c>
      <c r="O81">
        <v>450000</v>
      </c>
      <c r="P81">
        <v>31</v>
      </c>
      <c r="Q81">
        <v>15</v>
      </c>
      <c r="R81">
        <v>50</v>
      </c>
    </row>
    <row r="82" spans="1:18" x14ac:dyDescent="0.25">
      <c r="A82" t="s">
        <v>183</v>
      </c>
      <c r="B82" t="s">
        <v>184</v>
      </c>
      <c r="C82">
        <v>23</v>
      </c>
      <c r="D82" t="s">
        <v>20</v>
      </c>
      <c r="E82" t="s">
        <v>51</v>
      </c>
      <c r="F82">
        <v>1310.77</v>
      </c>
      <c r="G82">
        <v>4</v>
      </c>
      <c r="H82" t="s">
        <v>39</v>
      </c>
      <c r="I82">
        <v>6</v>
      </c>
      <c r="J82">
        <v>1</v>
      </c>
      <c r="K82" t="str">
        <f t="shared" si="1"/>
        <v>Regular cust</v>
      </c>
      <c r="L82" t="s">
        <v>552</v>
      </c>
      <c r="M82" t="s">
        <v>39</v>
      </c>
      <c r="N82">
        <v>0.14000000000000001</v>
      </c>
      <c r="O82">
        <v>300000</v>
      </c>
      <c r="P82">
        <v>50</v>
      </c>
      <c r="Q82">
        <v>12</v>
      </c>
      <c r="R82">
        <v>70</v>
      </c>
    </row>
    <row r="83" spans="1:18" x14ac:dyDescent="0.25">
      <c r="A83" t="s">
        <v>185</v>
      </c>
      <c r="B83" t="s">
        <v>186</v>
      </c>
      <c r="C83">
        <v>54</v>
      </c>
      <c r="D83" t="s">
        <v>20</v>
      </c>
      <c r="E83" t="s">
        <v>51</v>
      </c>
      <c r="F83">
        <v>4593.43</v>
      </c>
      <c r="G83">
        <v>3</v>
      </c>
      <c r="H83" t="s">
        <v>39</v>
      </c>
      <c r="I83">
        <v>10</v>
      </c>
      <c r="J83">
        <v>1</v>
      </c>
      <c r="K83" t="str">
        <f t="shared" si="1"/>
        <v>Regular cust</v>
      </c>
      <c r="L83" t="s">
        <v>552</v>
      </c>
      <c r="M83" t="s">
        <v>39</v>
      </c>
      <c r="N83">
        <v>0.14000000000000001</v>
      </c>
      <c r="O83">
        <v>300000</v>
      </c>
      <c r="P83">
        <v>50</v>
      </c>
      <c r="Q83">
        <v>12</v>
      </c>
      <c r="R83">
        <v>70</v>
      </c>
    </row>
    <row r="84" spans="1:18" x14ac:dyDescent="0.25">
      <c r="A84" t="s">
        <v>187</v>
      </c>
      <c r="B84" t="s">
        <v>188</v>
      </c>
      <c r="C84">
        <v>43</v>
      </c>
      <c r="D84" t="s">
        <v>25</v>
      </c>
      <c r="E84" t="s">
        <v>35</v>
      </c>
      <c r="F84">
        <v>939.16</v>
      </c>
      <c r="G84">
        <v>2</v>
      </c>
      <c r="H84" t="s">
        <v>39</v>
      </c>
      <c r="I84">
        <v>10</v>
      </c>
      <c r="J84">
        <v>5</v>
      </c>
      <c r="K84" t="str">
        <f t="shared" si="1"/>
        <v>Regular cust</v>
      </c>
      <c r="L84" t="s">
        <v>549</v>
      </c>
      <c r="M84" t="s">
        <v>39</v>
      </c>
      <c r="N84">
        <v>0.18</v>
      </c>
      <c r="O84">
        <v>450000</v>
      </c>
      <c r="P84">
        <v>50</v>
      </c>
      <c r="Q84">
        <v>15</v>
      </c>
      <c r="R84">
        <v>50</v>
      </c>
    </row>
    <row r="85" spans="1:18" x14ac:dyDescent="0.25">
      <c r="A85" t="s">
        <v>189</v>
      </c>
      <c r="B85" t="s">
        <v>113</v>
      </c>
      <c r="C85">
        <v>39</v>
      </c>
      <c r="D85" t="s">
        <v>45</v>
      </c>
      <c r="E85" t="s">
        <v>51</v>
      </c>
      <c r="F85">
        <v>1245.73</v>
      </c>
      <c r="G85">
        <v>3</v>
      </c>
      <c r="H85" t="s">
        <v>31</v>
      </c>
      <c r="I85">
        <v>8</v>
      </c>
      <c r="J85">
        <v>2</v>
      </c>
      <c r="K85" t="str">
        <f t="shared" si="1"/>
        <v>Regular cust</v>
      </c>
      <c r="L85" t="s">
        <v>552</v>
      </c>
      <c r="M85" t="s">
        <v>548</v>
      </c>
      <c r="N85">
        <v>0.14000000000000001</v>
      </c>
      <c r="O85">
        <v>300000</v>
      </c>
      <c r="P85">
        <v>50</v>
      </c>
      <c r="Q85">
        <v>12</v>
      </c>
      <c r="R85">
        <v>70</v>
      </c>
    </row>
    <row r="86" spans="1:18" x14ac:dyDescent="0.25">
      <c r="A86" t="s">
        <v>190</v>
      </c>
      <c r="B86" t="s">
        <v>70</v>
      </c>
      <c r="C86">
        <v>19</v>
      </c>
      <c r="D86" t="s">
        <v>45</v>
      </c>
      <c r="E86" t="s">
        <v>26</v>
      </c>
      <c r="F86">
        <v>1089.02</v>
      </c>
      <c r="G86">
        <v>4</v>
      </c>
      <c r="H86" t="s">
        <v>22</v>
      </c>
      <c r="I86">
        <v>4</v>
      </c>
      <c r="J86">
        <v>4</v>
      </c>
      <c r="K86" t="str">
        <f t="shared" si="1"/>
        <v>Priority cust</v>
      </c>
      <c r="L86" t="s">
        <v>545</v>
      </c>
      <c r="M86" t="s">
        <v>544</v>
      </c>
      <c r="N86">
        <v>0.12</v>
      </c>
      <c r="O86">
        <v>240000</v>
      </c>
      <c r="P86">
        <v>31</v>
      </c>
      <c r="Q86">
        <v>14</v>
      </c>
      <c r="R86">
        <v>30</v>
      </c>
    </row>
    <row r="87" spans="1:18" x14ac:dyDescent="0.25">
      <c r="A87" t="s">
        <v>191</v>
      </c>
      <c r="B87" t="s">
        <v>192</v>
      </c>
      <c r="C87">
        <v>21</v>
      </c>
      <c r="D87" t="s">
        <v>54</v>
      </c>
      <c r="E87" t="s">
        <v>35</v>
      </c>
      <c r="F87">
        <v>761.99</v>
      </c>
      <c r="G87">
        <v>3</v>
      </c>
      <c r="H87" t="s">
        <v>31</v>
      </c>
      <c r="I87">
        <v>10</v>
      </c>
      <c r="J87">
        <v>1</v>
      </c>
      <c r="K87" t="str">
        <f t="shared" si="1"/>
        <v>Regular cust</v>
      </c>
      <c r="L87" t="s">
        <v>549</v>
      </c>
      <c r="M87" t="s">
        <v>548</v>
      </c>
      <c r="N87">
        <v>0.18</v>
      </c>
      <c r="O87">
        <v>450000</v>
      </c>
      <c r="P87">
        <v>50</v>
      </c>
      <c r="Q87">
        <v>15</v>
      </c>
      <c r="R87">
        <v>50</v>
      </c>
    </row>
    <row r="88" spans="1:18" x14ac:dyDescent="0.25">
      <c r="A88" t="s">
        <v>193</v>
      </c>
      <c r="B88" t="s">
        <v>194</v>
      </c>
      <c r="C88">
        <v>32</v>
      </c>
      <c r="D88" t="s">
        <v>54</v>
      </c>
      <c r="E88" t="s">
        <v>51</v>
      </c>
      <c r="F88">
        <v>930.66</v>
      </c>
      <c r="G88">
        <v>5</v>
      </c>
      <c r="H88" t="s">
        <v>42</v>
      </c>
      <c r="I88">
        <v>7</v>
      </c>
      <c r="J88">
        <v>5</v>
      </c>
      <c r="K88" t="str">
        <f t="shared" si="1"/>
        <v>Priority cust</v>
      </c>
      <c r="L88" t="s">
        <v>552</v>
      </c>
      <c r="M88" t="s">
        <v>550</v>
      </c>
      <c r="N88">
        <v>0.14000000000000001</v>
      </c>
      <c r="O88">
        <v>300000</v>
      </c>
      <c r="P88">
        <v>90</v>
      </c>
      <c r="Q88">
        <v>12</v>
      </c>
      <c r="R88">
        <v>70</v>
      </c>
    </row>
    <row r="89" spans="1:18" x14ac:dyDescent="0.25">
      <c r="A89" t="s">
        <v>195</v>
      </c>
      <c r="B89" t="s">
        <v>196</v>
      </c>
      <c r="C89">
        <v>35</v>
      </c>
      <c r="D89" t="s">
        <v>54</v>
      </c>
      <c r="E89" t="s">
        <v>21</v>
      </c>
      <c r="F89">
        <v>697.77</v>
      </c>
      <c r="G89">
        <v>2</v>
      </c>
      <c r="H89" t="s">
        <v>31</v>
      </c>
      <c r="I89">
        <v>9</v>
      </c>
      <c r="J89">
        <v>4</v>
      </c>
      <c r="K89" t="str">
        <f t="shared" si="1"/>
        <v>Regular cust</v>
      </c>
      <c r="L89" t="s">
        <v>543</v>
      </c>
      <c r="M89" t="s">
        <v>548</v>
      </c>
      <c r="N89">
        <v>0.1</v>
      </c>
      <c r="O89">
        <v>560000</v>
      </c>
      <c r="P89">
        <v>50</v>
      </c>
      <c r="Q89">
        <v>13</v>
      </c>
      <c r="R89">
        <v>60</v>
      </c>
    </row>
    <row r="90" spans="1:18" x14ac:dyDescent="0.25">
      <c r="A90" t="s">
        <v>197</v>
      </c>
      <c r="B90" t="s">
        <v>168</v>
      </c>
      <c r="C90">
        <v>56</v>
      </c>
      <c r="D90" t="s">
        <v>20</v>
      </c>
      <c r="E90" t="s">
        <v>35</v>
      </c>
      <c r="F90">
        <v>563.03</v>
      </c>
      <c r="G90">
        <v>1</v>
      </c>
      <c r="H90" t="s">
        <v>39</v>
      </c>
      <c r="I90">
        <v>2</v>
      </c>
      <c r="J90">
        <v>5</v>
      </c>
      <c r="K90" t="str">
        <f t="shared" si="1"/>
        <v>Regular cust</v>
      </c>
      <c r="L90" t="s">
        <v>549</v>
      </c>
      <c r="M90" t="s">
        <v>39</v>
      </c>
      <c r="N90">
        <v>0.18</v>
      </c>
      <c r="O90">
        <v>450000</v>
      </c>
      <c r="P90">
        <v>50</v>
      </c>
      <c r="Q90">
        <v>15</v>
      </c>
      <c r="R90">
        <v>50</v>
      </c>
    </row>
    <row r="91" spans="1:18" x14ac:dyDescent="0.25">
      <c r="A91" t="s">
        <v>198</v>
      </c>
      <c r="B91" t="s">
        <v>103</v>
      </c>
      <c r="C91">
        <v>42</v>
      </c>
      <c r="D91" t="s">
        <v>34</v>
      </c>
      <c r="E91" t="s">
        <v>51</v>
      </c>
      <c r="F91">
        <v>4394.08</v>
      </c>
      <c r="G91">
        <v>2</v>
      </c>
      <c r="H91" t="s">
        <v>31</v>
      </c>
      <c r="I91">
        <v>8</v>
      </c>
      <c r="J91">
        <v>1</v>
      </c>
      <c r="K91" t="str">
        <f t="shared" si="1"/>
        <v>Regular cust</v>
      </c>
      <c r="L91" t="s">
        <v>552</v>
      </c>
      <c r="M91" t="s">
        <v>548</v>
      </c>
      <c r="N91">
        <v>0.14000000000000001</v>
      </c>
      <c r="O91">
        <v>300000</v>
      </c>
      <c r="P91">
        <v>50</v>
      </c>
      <c r="Q91">
        <v>12</v>
      </c>
      <c r="R91">
        <v>70</v>
      </c>
    </row>
    <row r="92" spans="1:18" x14ac:dyDescent="0.25">
      <c r="A92" t="s">
        <v>199</v>
      </c>
      <c r="B92" t="s">
        <v>200</v>
      </c>
      <c r="C92">
        <v>26</v>
      </c>
      <c r="D92" t="s">
        <v>20</v>
      </c>
      <c r="E92" t="s">
        <v>48</v>
      </c>
      <c r="F92">
        <v>2288.6799999999998</v>
      </c>
      <c r="G92">
        <v>5</v>
      </c>
      <c r="H92" t="s">
        <v>22</v>
      </c>
      <c r="I92">
        <v>9</v>
      </c>
      <c r="J92">
        <v>1</v>
      </c>
      <c r="K92" t="str">
        <f t="shared" si="1"/>
        <v>Regular cust</v>
      </c>
      <c r="L92" t="s">
        <v>551</v>
      </c>
      <c r="M92" t="s">
        <v>544</v>
      </c>
      <c r="N92">
        <v>0.05</v>
      </c>
      <c r="O92">
        <v>400000</v>
      </c>
      <c r="P92">
        <v>31</v>
      </c>
      <c r="Q92">
        <v>7</v>
      </c>
      <c r="R92">
        <v>40</v>
      </c>
    </row>
    <row r="93" spans="1:18" x14ac:dyDescent="0.25">
      <c r="A93" t="s">
        <v>201</v>
      </c>
      <c r="B93" t="s">
        <v>202</v>
      </c>
      <c r="C93">
        <v>54</v>
      </c>
      <c r="D93" t="s">
        <v>29</v>
      </c>
      <c r="E93" t="s">
        <v>51</v>
      </c>
      <c r="F93">
        <v>467.31</v>
      </c>
      <c r="G93">
        <v>3</v>
      </c>
      <c r="H93" t="s">
        <v>42</v>
      </c>
      <c r="I93">
        <v>9</v>
      </c>
      <c r="J93">
        <v>1</v>
      </c>
      <c r="K93" t="str">
        <f t="shared" si="1"/>
        <v>Regular cust</v>
      </c>
      <c r="L93" t="s">
        <v>552</v>
      </c>
      <c r="M93" t="s">
        <v>550</v>
      </c>
      <c r="N93">
        <v>0.14000000000000001</v>
      </c>
      <c r="O93">
        <v>300000</v>
      </c>
      <c r="P93">
        <v>90</v>
      </c>
      <c r="Q93">
        <v>12</v>
      </c>
      <c r="R93">
        <v>70</v>
      </c>
    </row>
    <row r="94" spans="1:18" x14ac:dyDescent="0.25">
      <c r="A94" t="s">
        <v>203</v>
      </c>
      <c r="B94" t="s">
        <v>204</v>
      </c>
      <c r="C94">
        <v>48</v>
      </c>
      <c r="D94" t="s">
        <v>20</v>
      </c>
      <c r="E94" t="s">
        <v>35</v>
      </c>
      <c r="F94">
        <v>1128.29</v>
      </c>
      <c r="G94">
        <v>5</v>
      </c>
      <c r="H94" t="s">
        <v>22</v>
      </c>
      <c r="I94">
        <v>4</v>
      </c>
      <c r="J94">
        <v>5</v>
      </c>
      <c r="K94" t="str">
        <f t="shared" si="1"/>
        <v>Priority cust</v>
      </c>
      <c r="L94" t="s">
        <v>549</v>
      </c>
      <c r="M94" t="s">
        <v>544</v>
      </c>
      <c r="N94">
        <v>0.18</v>
      </c>
      <c r="O94">
        <v>450000</v>
      </c>
      <c r="P94">
        <v>31</v>
      </c>
      <c r="Q94">
        <v>15</v>
      </c>
      <c r="R94">
        <v>50</v>
      </c>
    </row>
    <row r="95" spans="1:18" x14ac:dyDescent="0.25">
      <c r="A95" t="s">
        <v>205</v>
      </c>
      <c r="B95" t="s">
        <v>162</v>
      </c>
      <c r="C95">
        <v>46</v>
      </c>
      <c r="D95" t="s">
        <v>34</v>
      </c>
      <c r="E95" t="s">
        <v>30</v>
      </c>
      <c r="F95">
        <v>2779.02</v>
      </c>
      <c r="G95">
        <v>5</v>
      </c>
      <c r="H95" t="s">
        <v>22</v>
      </c>
      <c r="I95">
        <v>3</v>
      </c>
      <c r="J95">
        <v>2</v>
      </c>
      <c r="K95" t="str">
        <f t="shared" si="1"/>
        <v>Regular cust</v>
      </c>
      <c r="L95" t="s">
        <v>547</v>
      </c>
      <c r="M95" t="s">
        <v>544</v>
      </c>
      <c r="N95">
        <v>0.12</v>
      </c>
      <c r="O95">
        <v>350000</v>
      </c>
      <c r="P95">
        <v>31</v>
      </c>
      <c r="Q95">
        <v>12</v>
      </c>
      <c r="R95">
        <v>100</v>
      </c>
    </row>
    <row r="96" spans="1:18" x14ac:dyDescent="0.25">
      <c r="A96" t="s">
        <v>206</v>
      </c>
      <c r="B96" t="s">
        <v>82</v>
      </c>
      <c r="C96">
        <v>58</v>
      </c>
      <c r="D96" t="s">
        <v>54</v>
      </c>
      <c r="E96" t="s">
        <v>35</v>
      </c>
      <c r="F96">
        <v>223.55</v>
      </c>
      <c r="G96">
        <v>3</v>
      </c>
      <c r="H96" t="s">
        <v>39</v>
      </c>
      <c r="I96">
        <v>4</v>
      </c>
      <c r="J96">
        <v>4</v>
      </c>
      <c r="K96" t="str">
        <f t="shared" si="1"/>
        <v>Priority cust</v>
      </c>
      <c r="L96" t="s">
        <v>549</v>
      </c>
      <c r="M96" t="s">
        <v>39</v>
      </c>
      <c r="N96">
        <v>0.18</v>
      </c>
      <c r="O96">
        <v>450000</v>
      </c>
      <c r="P96">
        <v>50</v>
      </c>
      <c r="Q96">
        <v>15</v>
      </c>
      <c r="R96">
        <v>50</v>
      </c>
    </row>
    <row r="97" spans="1:18" x14ac:dyDescent="0.25">
      <c r="A97" t="s">
        <v>207</v>
      </c>
      <c r="B97" t="s">
        <v>208</v>
      </c>
      <c r="C97">
        <v>56</v>
      </c>
      <c r="D97" t="s">
        <v>34</v>
      </c>
      <c r="E97" t="s">
        <v>48</v>
      </c>
      <c r="F97">
        <v>3205.44</v>
      </c>
      <c r="G97">
        <v>2</v>
      </c>
      <c r="H97" t="s">
        <v>22</v>
      </c>
      <c r="I97">
        <v>3</v>
      </c>
      <c r="J97">
        <v>4</v>
      </c>
      <c r="K97" t="str">
        <f t="shared" si="1"/>
        <v>Regular cust</v>
      </c>
      <c r="L97" t="s">
        <v>551</v>
      </c>
      <c r="M97" t="s">
        <v>544</v>
      </c>
      <c r="N97">
        <v>0.05</v>
      </c>
      <c r="O97">
        <v>400000</v>
      </c>
      <c r="P97">
        <v>31</v>
      </c>
      <c r="Q97">
        <v>7</v>
      </c>
      <c r="R97">
        <v>40</v>
      </c>
    </row>
    <row r="98" spans="1:18" x14ac:dyDescent="0.25">
      <c r="A98" t="s">
        <v>209</v>
      </c>
      <c r="B98" t="s">
        <v>210</v>
      </c>
      <c r="C98">
        <v>22</v>
      </c>
      <c r="D98" t="s">
        <v>20</v>
      </c>
      <c r="E98" t="s">
        <v>51</v>
      </c>
      <c r="F98">
        <v>2519.0500000000002</v>
      </c>
      <c r="G98">
        <v>3</v>
      </c>
      <c r="H98" t="s">
        <v>39</v>
      </c>
      <c r="I98">
        <v>6</v>
      </c>
      <c r="J98">
        <v>3</v>
      </c>
      <c r="K98" t="str">
        <f t="shared" si="1"/>
        <v>Regular cust</v>
      </c>
      <c r="L98" t="s">
        <v>552</v>
      </c>
      <c r="M98" t="s">
        <v>39</v>
      </c>
      <c r="N98">
        <v>0.14000000000000001</v>
      </c>
      <c r="O98">
        <v>300000</v>
      </c>
      <c r="P98">
        <v>50</v>
      </c>
      <c r="Q98">
        <v>12</v>
      </c>
      <c r="R98">
        <v>70</v>
      </c>
    </row>
    <row r="99" spans="1:18" x14ac:dyDescent="0.25">
      <c r="A99" t="s">
        <v>211</v>
      </c>
      <c r="B99" t="s">
        <v>24</v>
      </c>
      <c r="C99">
        <v>39</v>
      </c>
      <c r="D99" t="s">
        <v>54</v>
      </c>
      <c r="E99" t="s">
        <v>26</v>
      </c>
      <c r="F99">
        <v>3993.68</v>
      </c>
      <c r="G99">
        <v>5</v>
      </c>
      <c r="H99" t="s">
        <v>39</v>
      </c>
      <c r="I99">
        <v>7</v>
      </c>
      <c r="J99">
        <v>5</v>
      </c>
      <c r="K99" t="str">
        <f t="shared" si="1"/>
        <v>Priority cust</v>
      </c>
      <c r="L99" t="s">
        <v>545</v>
      </c>
      <c r="M99" t="s">
        <v>39</v>
      </c>
      <c r="N99">
        <v>0.12</v>
      </c>
      <c r="O99">
        <v>240000</v>
      </c>
      <c r="P99">
        <v>50</v>
      </c>
      <c r="Q99">
        <v>14</v>
      </c>
      <c r="R99">
        <v>30</v>
      </c>
    </row>
    <row r="100" spans="1:18" x14ac:dyDescent="0.25">
      <c r="A100" t="s">
        <v>212</v>
      </c>
      <c r="B100" t="s">
        <v>208</v>
      </c>
      <c r="C100">
        <v>42</v>
      </c>
      <c r="D100" t="s">
        <v>34</v>
      </c>
      <c r="E100" t="s">
        <v>51</v>
      </c>
      <c r="F100">
        <v>1953.4</v>
      </c>
      <c r="G100">
        <v>2</v>
      </c>
      <c r="H100" t="s">
        <v>42</v>
      </c>
      <c r="I100">
        <v>2</v>
      </c>
      <c r="J100">
        <v>1</v>
      </c>
      <c r="K100" t="str">
        <f t="shared" si="1"/>
        <v>Regular cust</v>
      </c>
      <c r="L100" t="s">
        <v>552</v>
      </c>
      <c r="M100" t="s">
        <v>550</v>
      </c>
      <c r="N100">
        <v>0.14000000000000001</v>
      </c>
      <c r="O100">
        <v>300000</v>
      </c>
      <c r="P100">
        <v>90</v>
      </c>
      <c r="Q100">
        <v>12</v>
      </c>
      <c r="R100">
        <v>70</v>
      </c>
    </row>
    <row r="101" spans="1:18" x14ac:dyDescent="0.25">
      <c r="A101" t="s">
        <v>213</v>
      </c>
      <c r="B101" t="s">
        <v>214</v>
      </c>
      <c r="C101">
        <v>59</v>
      </c>
      <c r="D101" t="s">
        <v>34</v>
      </c>
      <c r="E101" t="s">
        <v>21</v>
      </c>
      <c r="F101">
        <v>1076.5</v>
      </c>
      <c r="G101">
        <v>5</v>
      </c>
      <c r="H101" t="s">
        <v>42</v>
      </c>
      <c r="I101">
        <v>5</v>
      </c>
      <c r="J101">
        <v>4</v>
      </c>
      <c r="K101" t="str">
        <f t="shared" si="1"/>
        <v>Priority cust</v>
      </c>
      <c r="L101" t="s">
        <v>543</v>
      </c>
      <c r="M101" t="s">
        <v>550</v>
      </c>
      <c r="N101">
        <v>0.1</v>
      </c>
      <c r="O101">
        <v>560000</v>
      </c>
      <c r="P101">
        <v>90</v>
      </c>
      <c r="Q101">
        <v>13</v>
      </c>
      <c r="R101">
        <v>60</v>
      </c>
    </row>
    <row r="102" spans="1:18" x14ac:dyDescent="0.25">
      <c r="A102" t="s">
        <v>215</v>
      </c>
      <c r="B102" t="s">
        <v>216</v>
      </c>
      <c r="C102">
        <v>22</v>
      </c>
      <c r="D102" t="s">
        <v>29</v>
      </c>
      <c r="E102" t="s">
        <v>48</v>
      </c>
      <c r="F102">
        <v>660.06</v>
      </c>
      <c r="G102">
        <v>4</v>
      </c>
      <c r="H102" t="s">
        <v>36</v>
      </c>
      <c r="I102">
        <v>4</v>
      </c>
      <c r="J102">
        <v>3</v>
      </c>
      <c r="K102" t="str">
        <f t="shared" si="1"/>
        <v>Regular cust</v>
      </c>
      <c r="L102" t="s">
        <v>551</v>
      </c>
      <c r="M102" t="s">
        <v>11</v>
      </c>
      <c r="N102">
        <v>0.05</v>
      </c>
      <c r="O102">
        <v>400000</v>
      </c>
      <c r="P102">
        <v>80</v>
      </c>
      <c r="Q102">
        <v>7</v>
      </c>
      <c r="R102">
        <v>40</v>
      </c>
    </row>
    <row r="103" spans="1:18" x14ac:dyDescent="0.25">
      <c r="A103" t="s">
        <v>217</v>
      </c>
      <c r="B103" t="s">
        <v>218</v>
      </c>
      <c r="C103">
        <v>38</v>
      </c>
      <c r="D103" t="s">
        <v>29</v>
      </c>
      <c r="E103" t="s">
        <v>21</v>
      </c>
      <c r="F103">
        <v>1003.94</v>
      </c>
      <c r="G103">
        <v>4</v>
      </c>
      <c r="H103" t="s">
        <v>31</v>
      </c>
      <c r="I103">
        <v>4</v>
      </c>
      <c r="J103">
        <v>1</v>
      </c>
      <c r="K103" t="str">
        <f t="shared" si="1"/>
        <v>Regular cust</v>
      </c>
      <c r="L103" t="s">
        <v>543</v>
      </c>
      <c r="M103" t="s">
        <v>548</v>
      </c>
      <c r="N103">
        <v>0.1</v>
      </c>
      <c r="O103">
        <v>560000</v>
      </c>
      <c r="P103">
        <v>50</v>
      </c>
      <c r="Q103">
        <v>13</v>
      </c>
      <c r="R103">
        <v>60</v>
      </c>
    </row>
    <row r="104" spans="1:18" x14ac:dyDescent="0.25">
      <c r="A104" t="s">
        <v>219</v>
      </c>
      <c r="B104" t="s">
        <v>158</v>
      </c>
      <c r="C104">
        <v>26</v>
      </c>
      <c r="D104" t="s">
        <v>29</v>
      </c>
      <c r="E104" t="s">
        <v>26</v>
      </c>
      <c r="F104">
        <v>1644.91</v>
      </c>
      <c r="G104">
        <v>4</v>
      </c>
      <c r="H104" t="s">
        <v>36</v>
      </c>
      <c r="I104">
        <v>1</v>
      </c>
      <c r="J104">
        <v>5</v>
      </c>
      <c r="K104" t="str">
        <f t="shared" si="1"/>
        <v>Priority cust</v>
      </c>
      <c r="L104" t="s">
        <v>545</v>
      </c>
      <c r="M104" t="s">
        <v>11</v>
      </c>
      <c r="N104">
        <v>0.12</v>
      </c>
      <c r="O104">
        <v>240000</v>
      </c>
      <c r="P104">
        <v>80</v>
      </c>
      <c r="Q104">
        <v>14</v>
      </c>
      <c r="R104">
        <v>30</v>
      </c>
    </row>
    <row r="105" spans="1:18" x14ac:dyDescent="0.25">
      <c r="A105" t="s">
        <v>220</v>
      </c>
      <c r="B105" t="s">
        <v>194</v>
      </c>
      <c r="C105">
        <v>24</v>
      </c>
      <c r="D105" t="s">
        <v>29</v>
      </c>
      <c r="E105" t="s">
        <v>35</v>
      </c>
      <c r="F105">
        <v>1681.01</v>
      </c>
      <c r="G105">
        <v>2</v>
      </c>
      <c r="H105" t="s">
        <v>31</v>
      </c>
      <c r="I105">
        <v>7</v>
      </c>
      <c r="J105">
        <v>1</v>
      </c>
      <c r="K105" t="str">
        <f t="shared" si="1"/>
        <v>Regular cust</v>
      </c>
      <c r="L105" t="s">
        <v>549</v>
      </c>
      <c r="M105" t="s">
        <v>548</v>
      </c>
      <c r="N105">
        <v>0.18</v>
      </c>
      <c r="O105">
        <v>450000</v>
      </c>
      <c r="P105">
        <v>50</v>
      </c>
      <c r="Q105">
        <v>15</v>
      </c>
      <c r="R105">
        <v>50</v>
      </c>
    </row>
    <row r="106" spans="1:18" x14ac:dyDescent="0.25">
      <c r="A106" t="s">
        <v>221</v>
      </c>
      <c r="B106" t="s">
        <v>222</v>
      </c>
      <c r="C106">
        <v>27</v>
      </c>
      <c r="D106" t="s">
        <v>20</v>
      </c>
      <c r="E106" t="s">
        <v>48</v>
      </c>
      <c r="F106">
        <v>4363.79</v>
      </c>
      <c r="G106">
        <v>3</v>
      </c>
      <c r="H106" t="s">
        <v>42</v>
      </c>
      <c r="I106">
        <v>6</v>
      </c>
      <c r="J106">
        <v>4</v>
      </c>
      <c r="K106" t="str">
        <f t="shared" si="1"/>
        <v>Priority cust</v>
      </c>
      <c r="L106" t="s">
        <v>551</v>
      </c>
      <c r="M106" t="s">
        <v>550</v>
      </c>
      <c r="N106">
        <v>0.05</v>
      </c>
      <c r="O106">
        <v>400000</v>
      </c>
      <c r="P106">
        <v>90</v>
      </c>
      <c r="Q106">
        <v>7</v>
      </c>
      <c r="R106">
        <v>40</v>
      </c>
    </row>
    <row r="107" spans="1:18" x14ac:dyDescent="0.25">
      <c r="A107" t="s">
        <v>223</v>
      </c>
      <c r="B107" t="s">
        <v>224</v>
      </c>
      <c r="C107">
        <v>39</v>
      </c>
      <c r="D107" t="s">
        <v>20</v>
      </c>
      <c r="E107" t="s">
        <v>21</v>
      </c>
      <c r="F107">
        <v>4280.6400000000003</v>
      </c>
      <c r="G107">
        <v>2</v>
      </c>
      <c r="H107" t="s">
        <v>22</v>
      </c>
      <c r="I107">
        <v>10</v>
      </c>
      <c r="J107">
        <v>4</v>
      </c>
      <c r="K107" t="str">
        <f t="shared" si="1"/>
        <v>Regular cust</v>
      </c>
      <c r="L107" t="s">
        <v>543</v>
      </c>
      <c r="M107" t="s">
        <v>544</v>
      </c>
      <c r="N107">
        <v>0.1</v>
      </c>
      <c r="O107">
        <v>560000</v>
      </c>
      <c r="P107">
        <v>31</v>
      </c>
      <c r="Q107">
        <v>13</v>
      </c>
      <c r="R107">
        <v>60</v>
      </c>
    </row>
    <row r="108" spans="1:18" x14ac:dyDescent="0.25">
      <c r="A108" t="s">
        <v>225</v>
      </c>
      <c r="B108" t="s">
        <v>226</v>
      </c>
      <c r="C108">
        <v>39</v>
      </c>
      <c r="D108" t="s">
        <v>54</v>
      </c>
      <c r="E108" t="s">
        <v>51</v>
      </c>
      <c r="F108">
        <v>4309.3500000000004</v>
      </c>
      <c r="G108">
        <v>3</v>
      </c>
      <c r="H108" t="s">
        <v>36</v>
      </c>
      <c r="I108">
        <v>10</v>
      </c>
      <c r="J108">
        <v>5</v>
      </c>
      <c r="K108" t="str">
        <f t="shared" si="1"/>
        <v>Priority cust</v>
      </c>
      <c r="L108" t="s">
        <v>552</v>
      </c>
      <c r="M108" t="s">
        <v>11</v>
      </c>
      <c r="N108">
        <v>0.14000000000000001</v>
      </c>
      <c r="O108">
        <v>300000</v>
      </c>
      <c r="P108">
        <v>80</v>
      </c>
      <c r="Q108">
        <v>12</v>
      </c>
      <c r="R108">
        <v>70</v>
      </c>
    </row>
    <row r="109" spans="1:18" x14ac:dyDescent="0.25">
      <c r="A109" t="s">
        <v>227</v>
      </c>
      <c r="B109" t="s">
        <v>228</v>
      </c>
      <c r="C109">
        <v>41</v>
      </c>
      <c r="D109" t="s">
        <v>29</v>
      </c>
      <c r="E109" t="s">
        <v>26</v>
      </c>
      <c r="F109">
        <v>3254.64</v>
      </c>
      <c r="G109">
        <v>2</v>
      </c>
      <c r="H109" t="s">
        <v>22</v>
      </c>
      <c r="I109">
        <v>10</v>
      </c>
      <c r="J109">
        <v>1</v>
      </c>
      <c r="K109" t="str">
        <f t="shared" si="1"/>
        <v>Regular cust</v>
      </c>
      <c r="L109" t="s">
        <v>545</v>
      </c>
      <c r="M109" t="s">
        <v>544</v>
      </c>
      <c r="N109">
        <v>0.12</v>
      </c>
      <c r="O109">
        <v>240000</v>
      </c>
      <c r="P109">
        <v>31</v>
      </c>
      <c r="Q109">
        <v>14</v>
      </c>
      <c r="R109">
        <v>30</v>
      </c>
    </row>
    <row r="110" spans="1:18" x14ac:dyDescent="0.25">
      <c r="A110" t="s">
        <v>229</v>
      </c>
      <c r="B110" t="s">
        <v>177</v>
      </c>
      <c r="C110">
        <v>32</v>
      </c>
      <c r="D110" t="s">
        <v>34</v>
      </c>
      <c r="E110" t="s">
        <v>30</v>
      </c>
      <c r="F110">
        <v>4801.18</v>
      </c>
      <c r="G110">
        <v>5</v>
      </c>
      <c r="H110" t="s">
        <v>22</v>
      </c>
      <c r="I110">
        <v>2</v>
      </c>
      <c r="J110">
        <v>3</v>
      </c>
      <c r="K110" t="str">
        <f t="shared" si="1"/>
        <v>Regular cust</v>
      </c>
      <c r="L110" t="s">
        <v>547</v>
      </c>
      <c r="M110" t="s">
        <v>544</v>
      </c>
      <c r="N110">
        <v>0.12</v>
      </c>
      <c r="O110">
        <v>350000</v>
      </c>
      <c r="P110">
        <v>31</v>
      </c>
      <c r="Q110">
        <v>12</v>
      </c>
      <c r="R110">
        <v>100</v>
      </c>
    </row>
    <row r="111" spans="1:18" x14ac:dyDescent="0.25">
      <c r="A111" t="s">
        <v>230</v>
      </c>
      <c r="B111" t="s">
        <v>231</v>
      </c>
      <c r="C111">
        <v>57</v>
      </c>
      <c r="D111" t="s">
        <v>20</v>
      </c>
      <c r="E111" t="s">
        <v>21</v>
      </c>
      <c r="F111">
        <v>3086.28</v>
      </c>
      <c r="G111">
        <v>4</v>
      </c>
      <c r="H111" t="s">
        <v>39</v>
      </c>
      <c r="I111">
        <v>4</v>
      </c>
      <c r="J111">
        <v>1</v>
      </c>
      <c r="K111" t="str">
        <f t="shared" si="1"/>
        <v>Regular cust</v>
      </c>
      <c r="L111" t="s">
        <v>543</v>
      </c>
      <c r="M111" t="s">
        <v>39</v>
      </c>
      <c r="N111">
        <v>0.1</v>
      </c>
      <c r="O111">
        <v>560000</v>
      </c>
      <c r="P111">
        <v>50</v>
      </c>
      <c r="Q111">
        <v>13</v>
      </c>
      <c r="R111">
        <v>60</v>
      </c>
    </row>
    <row r="112" spans="1:18" x14ac:dyDescent="0.25">
      <c r="A112" t="s">
        <v>232</v>
      </c>
      <c r="B112" t="s">
        <v>233</v>
      </c>
      <c r="C112">
        <v>19</v>
      </c>
      <c r="D112" t="s">
        <v>20</v>
      </c>
      <c r="E112" t="s">
        <v>21</v>
      </c>
      <c r="F112">
        <v>2438.4699999999998</v>
      </c>
      <c r="G112">
        <v>5</v>
      </c>
      <c r="H112" t="s">
        <v>36</v>
      </c>
      <c r="I112">
        <v>7</v>
      </c>
      <c r="J112">
        <v>1</v>
      </c>
      <c r="K112" t="str">
        <f t="shared" si="1"/>
        <v>Regular cust</v>
      </c>
      <c r="L112" t="s">
        <v>543</v>
      </c>
      <c r="M112" t="s">
        <v>11</v>
      </c>
      <c r="N112">
        <v>0.1</v>
      </c>
      <c r="O112">
        <v>560000</v>
      </c>
      <c r="P112">
        <v>80</v>
      </c>
      <c r="Q112">
        <v>13</v>
      </c>
      <c r="R112">
        <v>60</v>
      </c>
    </row>
    <row r="113" spans="1:18" x14ac:dyDescent="0.25">
      <c r="A113" t="s">
        <v>234</v>
      </c>
      <c r="B113" t="s">
        <v>235</v>
      </c>
      <c r="C113">
        <v>38</v>
      </c>
      <c r="D113" t="s">
        <v>54</v>
      </c>
      <c r="E113" t="s">
        <v>51</v>
      </c>
      <c r="F113">
        <v>4165.24</v>
      </c>
      <c r="G113">
        <v>2</v>
      </c>
      <c r="H113" t="s">
        <v>42</v>
      </c>
      <c r="I113">
        <v>9</v>
      </c>
      <c r="J113">
        <v>1</v>
      </c>
      <c r="K113" t="str">
        <f t="shared" si="1"/>
        <v>Regular cust</v>
      </c>
      <c r="L113" t="s">
        <v>552</v>
      </c>
      <c r="M113" t="s">
        <v>550</v>
      </c>
      <c r="N113">
        <v>0.14000000000000001</v>
      </c>
      <c r="O113">
        <v>300000</v>
      </c>
      <c r="P113">
        <v>90</v>
      </c>
      <c r="Q113">
        <v>12</v>
      </c>
      <c r="R113">
        <v>70</v>
      </c>
    </row>
    <row r="114" spans="1:18" x14ac:dyDescent="0.25">
      <c r="A114" t="s">
        <v>236</v>
      </c>
      <c r="B114" t="s">
        <v>237</v>
      </c>
      <c r="C114">
        <v>40</v>
      </c>
      <c r="D114" t="s">
        <v>20</v>
      </c>
      <c r="E114" t="s">
        <v>30</v>
      </c>
      <c r="F114">
        <v>3067.88</v>
      </c>
      <c r="G114">
        <v>5</v>
      </c>
      <c r="H114" t="s">
        <v>39</v>
      </c>
      <c r="I114">
        <v>5</v>
      </c>
      <c r="J114">
        <v>2</v>
      </c>
      <c r="K114" t="str">
        <f t="shared" si="1"/>
        <v>Regular cust</v>
      </c>
      <c r="L114" t="s">
        <v>547</v>
      </c>
      <c r="M114" t="s">
        <v>39</v>
      </c>
      <c r="N114">
        <v>0.12</v>
      </c>
      <c r="O114">
        <v>350000</v>
      </c>
      <c r="P114">
        <v>50</v>
      </c>
      <c r="Q114">
        <v>12</v>
      </c>
      <c r="R114">
        <v>100</v>
      </c>
    </row>
    <row r="115" spans="1:18" x14ac:dyDescent="0.25">
      <c r="A115" t="s">
        <v>238</v>
      </c>
      <c r="B115" t="s">
        <v>239</v>
      </c>
      <c r="C115">
        <v>38</v>
      </c>
      <c r="D115" t="s">
        <v>34</v>
      </c>
      <c r="E115" t="s">
        <v>26</v>
      </c>
      <c r="F115">
        <v>3293.68</v>
      </c>
      <c r="G115">
        <v>2</v>
      </c>
      <c r="H115" t="s">
        <v>31</v>
      </c>
      <c r="I115">
        <v>6</v>
      </c>
      <c r="J115">
        <v>3</v>
      </c>
      <c r="K115" t="str">
        <f t="shared" si="1"/>
        <v>Regular cust</v>
      </c>
      <c r="L115" t="s">
        <v>545</v>
      </c>
      <c r="M115" t="s">
        <v>548</v>
      </c>
      <c r="N115">
        <v>0.12</v>
      </c>
      <c r="O115">
        <v>240000</v>
      </c>
      <c r="P115">
        <v>50</v>
      </c>
      <c r="Q115">
        <v>14</v>
      </c>
      <c r="R115">
        <v>30</v>
      </c>
    </row>
    <row r="116" spans="1:18" x14ac:dyDescent="0.25">
      <c r="A116" t="s">
        <v>240</v>
      </c>
      <c r="B116" t="s">
        <v>241</v>
      </c>
      <c r="C116">
        <v>35</v>
      </c>
      <c r="D116" t="s">
        <v>45</v>
      </c>
      <c r="E116" t="s">
        <v>30</v>
      </c>
      <c r="F116">
        <v>4325.24</v>
      </c>
      <c r="G116">
        <v>1</v>
      </c>
      <c r="H116" t="s">
        <v>42</v>
      </c>
      <c r="I116">
        <v>5</v>
      </c>
      <c r="J116">
        <v>1</v>
      </c>
      <c r="K116" t="str">
        <f t="shared" si="1"/>
        <v>Regular cust</v>
      </c>
      <c r="L116" t="s">
        <v>547</v>
      </c>
      <c r="M116" t="s">
        <v>550</v>
      </c>
      <c r="N116">
        <v>0.12</v>
      </c>
      <c r="O116">
        <v>350000</v>
      </c>
      <c r="P116">
        <v>90</v>
      </c>
      <c r="Q116">
        <v>12</v>
      </c>
      <c r="R116">
        <v>100</v>
      </c>
    </row>
    <row r="117" spans="1:18" x14ac:dyDescent="0.25">
      <c r="A117" t="s">
        <v>242</v>
      </c>
      <c r="B117" t="s">
        <v>243</v>
      </c>
      <c r="C117">
        <v>37</v>
      </c>
      <c r="D117" t="s">
        <v>20</v>
      </c>
      <c r="E117" t="s">
        <v>26</v>
      </c>
      <c r="F117">
        <v>3155.77</v>
      </c>
      <c r="G117">
        <v>3</v>
      </c>
      <c r="H117" t="s">
        <v>42</v>
      </c>
      <c r="I117">
        <v>10</v>
      </c>
      <c r="J117">
        <v>3</v>
      </c>
      <c r="K117" t="str">
        <f t="shared" si="1"/>
        <v>Regular cust</v>
      </c>
      <c r="L117" t="s">
        <v>545</v>
      </c>
      <c r="M117" t="s">
        <v>550</v>
      </c>
      <c r="N117">
        <v>0.12</v>
      </c>
      <c r="O117">
        <v>240000</v>
      </c>
      <c r="P117">
        <v>90</v>
      </c>
      <c r="Q117">
        <v>14</v>
      </c>
      <c r="R117">
        <v>30</v>
      </c>
    </row>
    <row r="118" spans="1:18" x14ac:dyDescent="0.25">
      <c r="A118" t="s">
        <v>244</v>
      </c>
      <c r="B118" t="s">
        <v>245</v>
      </c>
      <c r="C118">
        <v>25</v>
      </c>
      <c r="D118" t="s">
        <v>25</v>
      </c>
      <c r="E118" t="s">
        <v>26</v>
      </c>
      <c r="F118">
        <v>2858.86</v>
      </c>
      <c r="G118">
        <v>2</v>
      </c>
      <c r="H118" t="s">
        <v>31</v>
      </c>
      <c r="I118">
        <v>8</v>
      </c>
      <c r="J118">
        <v>5</v>
      </c>
      <c r="K118" t="str">
        <f t="shared" si="1"/>
        <v>Regular cust</v>
      </c>
      <c r="L118" t="s">
        <v>545</v>
      </c>
      <c r="M118" t="s">
        <v>548</v>
      </c>
      <c r="N118">
        <v>0.12</v>
      </c>
      <c r="O118">
        <v>240000</v>
      </c>
      <c r="P118">
        <v>50</v>
      </c>
      <c r="Q118">
        <v>14</v>
      </c>
      <c r="R118">
        <v>30</v>
      </c>
    </row>
    <row r="119" spans="1:18" x14ac:dyDescent="0.25">
      <c r="A119" t="s">
        <v>246</v>
      </c>
      <c r="B119" t="s">
        <v>247</v>
      </c>
      <c r="C119">
        <v>35</v>
      </c>
      <c r="D119" t="s">
        <v>45</v>
      </c>
      <c r="E119" t="s">
        <v>26</v>
      </c>
      <c r="F119">
        <v>354.9</v>
      </c>
      <c r="G119">
        <v>3</v>
      </c>
      <c r="H119" t="s">
        <v>31</v>
      </c>
      <c r="I119">
        <v>8</v>
      </c>
      <c r="J119">
        <v>3</v>
      </c>
      <c r="K119" t="str">
        <f t="shared" si="1"/>
        <v>Regular cust</v>
      </c>
      <c r="L119" t="s">
        <v>545</v>
      </c>
      <c r="M119" t="s">
        <v>548</v>
      </c>
      <c r="N119">
        <v>0.12</v>
      </c>
      <c r="O119">
        <v>240000</v>
      </c>
      <c r="P119">
        <v>50</v>
      </c>
      <c r="Q119">
        <v>14</v>
      </c>
      <c r="R119">
        <v>30</v>
      </c>
    </row>
    <row r="120" spans="1:18" x14ac:dyDescent="0.25">
      <c r="A120" t="s">
        <v>248</v>
      </c>
      <c r="B120" t="s">
        <v>249</v>
      </c>
      <c r="C120">
        <v>47</v>
      </c>
      <c r="D120" t="s">
        <v>34</v>
      </c>
      <c r="E120" t="s">
        <v>48</v>
      </c>
      <c r="F120">
        <v>2633.62</v>
      </c>
      <c r="G120">
        <v>3</v>
      </c>
      <c r="H120" t="s">
        <v>22</v>
      </c>
      <c r="I120">
        <v>10</v>
      </c>
      <c r="J120">
        <v>2</v>
      </c>
      <c r="K120" t="str">
        <f t="shared" si="1"/>
        <v>Regular cust</v>
      </c>
      <c r="L120" t="s">
        <v>551</v>
      </c>
      <c r="M120" t="s">
        <v>544</v>
      </c>
      <c r="N120">
        <v>0.05</v>
      </c>
      <c r="O120">
        <v>400000</v>
      </c>
      <c r="P120">
        <v>31</v>
      </c>
      <c r="Q120">
        <v>7</v>
      </c>
      <c r="R120">
        <v>40</v>
      </c>
    </row>
    <row r="121" spans="1:18" x14ac:dyDescent="0.25">
      <c r="A121" t="s">
        <v>250</v>
      </c>
      <c r="B121" t="s">
        <v>251</v>
      </c>
      <c r="C121">
        <v>34</v>
      </c>
      <c r="D121" t="s">
        <v>29</v>
      </c>
      <c r="E121" t="s">
        <v>48</v>
      </c>
      <c r="F121">
        <v>4157.1499999999996</v>
      </c>
      <c r="G121">
        <v>1</v>
      </c>
      <c r="H121" t="s">
        <v>39</v>
      </c>
      <c r="I121">
        <v>3</v>
      </c>
      <c r="J121">
        <v>3</v>
      </c>
      <c r="K121" t="str">
        <f t="shared" si="1"/>
        <v>Regular cust</v>
      </c>
      <c r="L121" t="s">
        <v>551</v>
      </c>
      <c r="M121" t="s">
        <v>39</v>
      </c>
      <c r="N121">
        <v>0.05</v>
      </c>
      <c r="O121">
        <v>400000</v>
      </c>
      <c r="P121">
        <v>50</v>
      </c>
      <c r="Q121">
        <v>7</v>
      </c>
      <c r="R121">
        <v>40</v>
      </c>
    </row>
    <row r="122" spans="1:18" x14ac:dyDescent="0.25">
      <c r="A122" t="s">
        <v>252</v>
      </c>
      <c r="B122" t="s">
        <v>253</v>
      </c>
      <c r="C122">
        <v>47</v>
      </c>
      <c r="D122" t="s">
        <v>20</v>
      </c>
      <c r="E122" t="s">
        <v>51</v>
      </c>
      <c r="F122">
        <v>3859.42</v>
      </c>
      <c r="G122">
        <v>5</v>
      </c>
      <c r="H122" t="s">
        <v>22</v>
      </c>
      <c r="I122">
        <v>9</v>
      </c>
      <c r="J122">
        <v>4</v>
      </c>
      <c r="K122" t="str">
        <f t="shared" si="1"/>
        <v>Priority cust</v>
      </c>
      <c r="L122" t="s">
        <v>552</v>
      </c>
      <c r="M122" t="s">
        <v>544</v>
      </c>
      <c r="N122">
        <v>0.14000000000000001</v>
      </c>
      <c r="O122">
        <v>300000</v>
      </c>
      <c r="P122">
        <v>31</v>
      </c>
      <c r="Q122">
        <v>12</v>
      </c>
      <c r="R122">
        <v>70</v>
      </c>
    </row>
    <row r="123" spans="1:18" x14ac:dyDescent="0.25">
      <c r="A123" t="s">
        <v>254</v>
      </c>
      <c r="B123" t="s">
        <v>255</v>
      </c>
      <c r="C123">
        <v>46</v>
      </c>
      <c r="D123" t="s">
        <v>45</v>
      </c>
      <c r="E123" t="s">
        <v>48</v>
      </c>
      <c r="F123">
        <v>1411.82</v>
      </c>
      <c r="G123">
        <v>1</v>
      </c>
      <c r="H123" t="s">
        <v>31</v>
      </c>
      <c r="I123">
        <v>10</v>
      </c>
      <c r="J123">
        <v>5</v>
      </c>
      <c r="K123" t="str">
        <f t="shared" si="1"/>
        <v>Regular cust</v>
      </c>
      <c r="L123" t="s">
        <v>551</v>
      </c>
      <c r="M123" t="s">
        <v>548</v>
      </c>
      <c r="N123">
        <v>0.05</v>
      </c>
      <c r="O123">
        <v>400000</v>
      </c>
      <c r="P123">
        <v>50</v>
      </c>
      <c r="Q123">
        <v>7</v>
      </c>
      <c r="R123">
        <v>40</v>
      </c>
    </row>
    <row r="124" spans="1:18" x14ac:dyDescent="0.25">
      <c r="A124" t="s">
        <v>256</v>
      </c>
      <c r="B124" t="s">
        <v>257</v>
      </c>
      <c r="C124">
        <v>51</v>
      </c>
      <c r="D124" t="s">
        <v>54</v>
      </c>
      <c r="E124" t="s">
        <v>51</v>
      </c>
      <c r="F124">
        <v>944.32</v>
      </c>
      <c r="G124">
        <v>5</v>
      </c>
      <c r="H124" t="s">
        <v>22</v>
      </c>
      <c r="I124">
        <v>8</v>
      </c>
      <c r="J124">
        <v>5</v>
      </c>
      <c r="K124" t="str">
        <f t="shared" si="1"/>
        <v>Priority cust</v>
      </c>
      <c r="L124" t="s">
        <v>552</v>
      </c>
      <c r="M124" t="s">
        <v>544</v>
      </c>
      <c r="N124">
        <v>0.14000000000000001</v>
      </c>
      <c r="O124">
        <v>300000</v>
      </c>
      <c r="P124">
        <v>31</v>
      </c>
      <c r="Q124">
        <v>12</v>
      </c>
      <c r="R124">
        <v>70</v>
      </c>
    </row>
    <row r="125" spans="1:18" x14ac:dyDescent="0.25">
      <c r="A125" t="s">
        <v>258</v>
      </c>
      <c r="B125" t="s">
        <v>259</v>
      </c>
      <c r="C125">
        <v>45</v>
      </c>
      <c r="D125" t="s">
        <v>54</v>
      </c>
      <c r="E125" t="s">
        <v>51</v>
      </c>
      <c r="F125">
        <v>4282.6899999999996</v>
      </c>
      <c r="G125">
        <v>5</v>
      </c>
      <c r="H125" t="s">
        <v>36</v>
      </c>
      <c r="I125">
        <v>3</v>
      </c>
      <c r="J125">
        <v>2</v>
      </c>
      <c r="K125" t="str">
        <f t="shared" si="1"/>
        <v>Regular cust</v>
      </c>
      <c r="L125" t="s">
        <v>552</v>
      </c>
      <c r="M125" t="s">
        <v>11</v>
      </c>
      <c r="N125">
        <v>0.14000000000000001</v>
      </c>
      <c r="O125">
        <v>300000</v>
      </c>
      <c r="P125">
        <v>80</v>
      </c>
      <c r="Q125">
        <v>12</v>
      </c>
      <c r="R125">
        <v>70</v>
      </c>
    </row>
    <row r="126" spans="1:18" x14ac:dyDescent="0.25">
      <c r="A126" t="s">
        <v>260</v>
      </c>
      <c r="B126" t="s">
        <v>261</v>
      </c>
      <c r="C126">
        <v>37</v>
      </c>
      <c r="D126" t="s">
        <v>20</v>
      </c>
      <c r="E126" t="s">
        <v>35</v>
      </c>
      <c r="F126">
        <v>1531.17</v>
      </c>
      <c r="G126">
        <v>1</v>
      </c>
      <c r="H126" t="s">
        <v>31</v>
      </c>
      <c r="I126">
        <v>2</v>
      </c>
      <c r="J126">
        <v>3</v>
      </c>
      <c r="K126" t="str">
        <f t="shared" si="1"/>
        <v>Regular cust</v>
      </c>
      <c r="L126" t="s">
        <v>549</v>
      </c>
      <c r="M126" t="s">
        <v>548</v>
      </c>
      <c r="N126">
        <v>0.18</v>
      </c>
      <c r="O126">
        <v>450000</v>
      </c>
      <c r="P126">
        <v>50</v>
      </c>
      <c r="Q126">
        <v>15</v>
      </c>
      <c r="R126">
        <v>50</v>
      </c>
    </row>
    <row r="127" spans="1:18" x14ac:dyDescent="0.25">
      <c r="A127" t="s">
        <v>262</v>
      </c>
      <c r="B127" t="s">
        <v>235</v>
      </c>
      <c r="C127">
        <v>19</v>
      </c>
      <c r="D127" t="s">
        <v>25</v>
      </c>
      <c r="E127" t="s">
        <v>30</v>
      </c>
      <c r="F127">
        <v>4227.53</v>
      </c>
      <c r="G127">
        <v>1</v>
      </c>
      <c r="H127" t="s">
        <v>31</v>
      </c>
      <c r="I127">
        <v>7</v>
      </c>
      <c r="J127">
        <v>2</v>
      </c>
      <c r="K127" t="str">
        <f t="shared" si="1"/>
        <v>Regular cust</v>
      </c>
      <c r="L127" t="s">
        <v>547</v>
      </c>
      <c r="M127" t="s">
        <v>548</v>
      </c>
      <c r="N127">
        <v>0.12</v>
      </c>
      <c r="O127">
        <v>350000</v>
      </c>
      <c r="P127">
        <v>50</v>
      </c>
      <c r="Q127">
        <v>12</v>
      </c>
      <c r="R127">
        <v>100</v>
      </c>
    </row>
    <row r="128" spans="1:18" x14ac:dyDescent="0.25">
      <c r="A128" t="s">
        <v>263</v>
      </c>
      <c r="B128" t="s">
        <v>253</v>
      </c>
      <c r="C128">
        <v>23</v>
      </c>
      <c r="D128" t="s">
        <v>54</v>
      </c>
      <c r="E128" t="s">
        <v>26</v>
      </c>
      <c r="F128">
        <v>3514.1</v>
      </c>
      <c r="G128">
        <v>5</v>
      </c>
      <c r="H128" t="s">
        <v>31</v>
      </c>
      <c r="I128">
        <v>2</v>
      </c>
      <c r="J128">
        <v>1</v>
      </c>
      <c r="K128" t="str">
        <f t="shared" si="1"/>
        <v>Regular cust</v>
      </c>
      <c r="L128" t="s">
        <v>545</v>
      </c>
      <c r="M128" t="s">
        <v>548</v>
      </c>
      <c r="N128">
        <v>0.12</v>
      </c>
      <c r="O128">
        <v>240000</v>
      </c>
      <c r="P128">
        <v>50</v>
      </c>
      <c r="Q128">
        <v>14</v>
      </c>
      <c r="R128">
        <v>30</v>
      </c>
    </row>
    <row r="129" spans="1:18" x14ac:dyDescent="0.25">
      <c r="A129" t="s">
        <v>264</v>
      </c>
      <c r="B129" t="s">
        <v>265</v>
      </c>
      <c r="C129">
        <v>42</v>
      </c>
      <c r="D129" t="s">
        <v>34</v>
      </c>
      <c r="E129" t="s">
        <v>30</v>
      </c>
      <c r="F129">
        <v>2472.37</v>
      </c>
      <c r="G129">
        <v>1</v>
      </c>
      <c r="H129" t="s">
        <v>42</v>
      </c>
      <c r="I129">
        <v>5</v>
      </c>
      <c r="J129">
        <v>1</v>
      </c>
      <c r="K129" t="str">
        <f t="shared" si="1"/>
        <v>Regular cust</v>
      </c>
      <c r="L129" t="s">
        <v>547</v>
      </c>
      <c r="M129" t="s">
        <v>550</v>
      </c>
      <c r="N129">
        <v>0.12</v>
      </c>
      <c r="O129">
        <v>350000</v>
      </c>
      <c r="P129">
        <v>90</v>
      </c>
      <c r="Q129">
        <v>12</v>
      </c>
      <c r="R129">
        <v>100</v>
      </c>
    </row>
    <row r="130" spans="1:18" x14ac:dyDescent="0.25">
      <c r="A130" t="s">
        <v>266</v>
      </c>
      <c r="B130" t="s">
        <v>267</v>
      </c>
      <c r="C130">
        <v>48</v>
      </c>
      <c r="D130" t="s">
        <v>45</v>
      </c>
      <c r="E130" t="s">
        <v>35</v>
      </c>
      <c r="F130">
        <v>1640.68</v>
      </c>
      <c r="G130">
        <v>3</v>
      </c>
      <c r="H130" t="s">
        <v>39</v>
      </c>
      <c r="I130">
        <v>5</v>
      </c>
      <c r="J130">
        <v>5</v>
      </c>
      <c r="K130" t="str">
        <f t="shared" si="1"/>
        <v>Priority cust</v>
      </c>
      <c r="L130" t="s">
        <v>549</v>
      </c>
      <c r="M130" t="s">
        <v>39</v>
      </c>
      <c r="N130">
        <v>0.18</v>
      </c>
      <c r="O130">
        <v>450000</v>
      </c>
      <c r="P130">
        <v>50</v>
      </c>
      <c r="Q130">
        <v>15</v>
      </c>
      <c r="R130">
        <v>50</v>
      </c>
    </row>
    <row r="131" spans="1:18" x14ac:dyDescent="0.25">
      <c r="A131" t="s">
        <v>268</v>
      </c>
      <c r="B131" t="s">
        <v>269</v>
      </c>
      <c r="C131">
        <v>34</v>
      </c>
      <c r="D131" t="s">
        <v>34</v>
      </c>
      <c r="E131" t="s">
        <v>30</v>
      </c>
      <c r="F131">
        <v>726.34</v>
      </c>
      <c r="G131">
        <v>5</v>
      </c>
      <c r="H131" t="s">
        <v>22</v>
      </c>
      <c r="I131">
        <v>2</v>
      </c>
      <c r="J131">
        <v>1</v>
      </c>
      <c r="K131" t="str">
        <f t="shared" ref="K131:K194" si="2">IF(AND(J131&gt;=4,G131&gt;=3),"Priority cust","Regular cust")</f>
        <v>Regular cust</v>
      </c>
      <c r="L131" t="s">
        <v>547</v>
      </c>
      <c r="M131" t="s">
        <v>544</v>
      </c>
      <c r="N131">
        <v>0.12</v>
      </c>
      <c r="O131">
        <v>350000</v>
      </c>
      <c r="P131">
        <v>31</v>
      </c>
      <c r="Q131">
        <v>12</v>
      </c>
      <c r="R131">
        <v>100</v>
      </c>
    </row>
    <row r="132" spans="1:18" x14ac:dyDescent="0.25">
      <c r="A132" t="s">
        <v>270</v>
      </c>
      <c r="B132" t="s">
        <v>58</v>
      </c>
      <c r="C132">
        <v>41</v>
      </c>
      <c r="D132" t="s">
        <v>54</v>
      </c>
      <c r="E132" t="s">
        <v>48</v>
      </c>
      <c r="F132">
        <v>4440.17</v>
      </c>
      <c r="G132">
        <v>3</v>
      </c>
      <c r="H132" t="s">
        <v>42</v>
      </c>
      <c r="I132">
        <v>4</v>
      </c>
      <c r="J132">
        <v>2</v>
      </c>
      <c r="K132" t="str">
        <f t="shared" si="2"/>
        <v>Regular cust</v>
      </c>
      <c r="L132" t="s">
        <v>551</v>
      </c>
      <c r="M132" t="s">
        <v>550</v>
      </c>
      <c r="N132">
        <v>0.05</v>
      </c>
      <c r="O132">
        <v>400000</v>
      </c>
      <c r="P132">
        <v>90</v>
      </c>
      <c r="Q132">
        <v>7</v>
      </c>
      <c r="R132">
        <v>40</v>
      </c>
    </row>
    <row r="133" spans="1:18" x14ac:dyDescent="0.25">
      <c r="A133" t="s">
        <v>271</v>
      </c>
      <c r="B133" t="s">
        <v>150</v>
      </c>
      <c r="C133">
        <v>57</v>
      </c>
      <c r="D133" t="s">
        <v>34</v>
      </c>
      <c r="E133" t="s">
        <v>30</v>
      </c>
      <c r="F133">
        <v>393.56</v>
      </c>
      <c r="G133">
        <v>3</v>
      </c>
      <c r="H133" t="s">
        <v>39</v>
      </c>
      <c r="I133">
        <v>8</v>
      </c>
      <c r="J133">
        <v>1</v>
      </c>
      <c r="K133" t="str">
        <f t="shared" si="2"/>
        <v>Regular cust</v>
      </c>
      <c r="L133" t="s">
        <v>547</v>
      </c>
      <c r="M133" t="s">
        <v>39</v>
      </c>
      <c r="N133">
        <v>0.12</v>
      </c>
      <c r="O133">
        <v>350000</v>
      </c>
      <c r="P133">
        <v>50</v>
      </c>
      <c r="Q133">
        <v>12</v>
      </c>
      <c r="R133">
        <v>100</v>
      </c>
    </row>
    <row r="134" spans="1:18" x14ac:dyDescent="0.25">
      <c r="A134" t="s">
        <v>272</v>
      </c>
      <c r="B134" t="s">
        <v>273</v>
      </c>
      <c r="C134">
        <v>51</v>
      </c>
      <c r="D134" t="s">
        <v>54</v>
      </c>
      <c r="E134" t="s">
        <v>30</v>
      </c>
      <c r="F134">
        <v>2103.09</v>
      </c>
      <c r="G134">
        <v>1</v>
      </c>
      <c r="H134" t="s">
        <v>39</v>
      </c>
      <c r="I134">
        <v>5</v>
      </c>
      <c r="J134">
        <v>3</v>
      </c>
      <c r="K134" t="str">
        <f t="shared" si="2"/>
        <v>Regular cust</v>
      </c>
      <c r="L134" t="s">
        <v>547</v>
      </c>
      <c r="M134" t="s">
        <v>39</v>
      </c>
      <c r="N134">
        <v>0.12</v>
      </c>
      <c r="O134">
        <v>350000</v>
      </c>
      <c r="P134">
        <v>50</v>
      </c>
      <c r="Q134">
        <v>12</v>
      </c>
      <c r="R134">
        <v>100</v>
      </c>
    </row>
    <row r="135" spans="1:18" x14ac:dyDescent="0.25">
      <c r="A135" t="s">
        <v>274</v>
      </c>
      <c r="B135" t="s">
        <v>243</v>
      </c>
      <c r="C135">
        <v>41</v>
      </c>
      <c r="D135" t="s">
        <v>45</v>
      </c>
      <c r="E135" t="s">
        <v>35</v>
      </c>
      <c r="F135">
        <v>4054.97</v>
      </c>
      <c r="G135">
        <v>4</v>
      </c>
      <c r="H135" t="s">
        <v>39</v>
      </c>
      <c r="I135">
        <v>2</v>
      </c>
      <c r="J135">
        <v>3</v>
      </c>
      <c r="K135" t="str">
        <f t="shared" si="2"/>
        <v>Regular cust</v>
      </c>
      <c r="L135" t="s">
        <v>549</v>
      </c>
      <c r="M135" t="s">
        <v>39</v>
      </c>
      <c r="N135">
        <v>0.18</v>
      </c>
      <c r="O135">
        <v>450000</v>
      </c>
      <c r="P135">
        <v>50</v>
      </c>
      <c r="Q135">
        <v>15</v>
      </c>
      <c r="R135">
        <v>50</v>
      </c>
    </row>
    <row r="136" spans="1:18" x14ac:dyDescent="0.25">
      <c r="A136" t="s">
        <v>275</v>
      </c>
      <c r="B136" t="s">
        <v>276</v>
      </c>
      <c r="C136">
        <v>43</v>
      </c>
      <c r="D136" t="s">
        <v>54</v>
      </c>
      <c r="E136" t="s">
        <v>26</v>
      </c>
      <c r="F136">
        <v>1096.76</v>
      </c>
      <c r="G136">
        <v>1</v>
      </c>
      <c r="H136" t="s">
        <v>36</v>
      </c>
      <c r="I136">
        <v>5</v>
      </c>
      <c r="J136">
        <v>4</v>
      </c>
      <c r="K136" t="str">
        <f t="shared" si="2"/>
        <v>Regular cust</v>
      </c>
      <c r="L136" t="s">
        <v>545</v>
      </c>
      <c r="M136" t="s">
        <v>11</v>
      </c>
      <c r="N136">
        <v>0.12</v>
      </c>
      <c r="O136">
        <v>240000</v>
      </c>
      <c r="P136">
        <v>80</v>
      </c>
      <c r="Q136">
        <v>14</v>
      </c>
      <c r="R136">
        <v>30</v>
      </c>
    </row>
    <row r="137" spans="1:18" x14ac:dyDescent="0.25">
      <c r="A137" t="s">
        <v>277</v>
      </c>
      <c r="B137" t="s">
        <v>278</v>
      </c>
      <c r="C137">
        <v>38</v>
      </c>
      <c r="D137" t="s">
        <v>20</v>
      </c>
      <c r="E137" t="s">
        <v>48</v>
      </c>
      <c r="F137">
        <v>3831.59</v>
      </c>
      <c r="G137">
        <v>3</v>
      </c>
      <c r="H137" t="s">
        <v>36</v>
      </c>
      <c r="I137">
        <v>8</v>
      </c>
      <c r="J137">
        <v>3</v>
      </c>
      <c r="K137" t="str">
        <f t="shared" si="2"/>
        <v>Regular cust</v>
      </c>
      <c r="L137" t="s">
        <v>551</v>
      </c>
      <c r="M137" t="s">
        <v>11</v>
      </c>
      <c r="N137">
        <v>0.05</v>
      </c>
      <c r="O137">
        <v>400000</v>
      </c>
      <c r="P137">
        <v>80</v>
      </c>
      <c r="Q137">
        <v>7</v>
      </c>
      <c r="R137">
        <v>40</v>
      </c>
    </row>
    <row r="138" spans="1:18" x14ac:dyDescent="0.25">
      <c r="A138" t="s">
        <v>279</v>
      </c>
      <c r="B138" t="s">
        <v>280</v>
      </c>
      <c r="C138">
        <v>53</v>
      </c>
      <c r="D138" t="s">
        <v>54</v>
      </c>
      <c r="E138" t="s">
        <v>30</v>
      </c>
      <c r="F138">
        <v>313.68</v>
      </c>
      <c r="G138">
        <v>4</v>
      </c>
      <c r="H138" t="s">
        <v>22</v>
      </c>
      <c r="I138">
        <v>2</v>
      </c>
      <c r="J138">
        <v>4</v>
      </c>
      <c r="K138" t="str">
        <f t="shared" si="2"/>
        <v>Priority cust</v>
      </c>
      <c r="L138" t="s">
        <v>547</v>
      </c>
      <c r="M138" t="s">
        <v>544</v>
      </c>
      <c r="N138">
        <v>0.12</v>
      </c>
      <c r="O138">
        <v>350000</v>
      </c>
      <c r="P138">
        <v>31</v>
      </c>
      <c r="Q138">
        <v>12</v>
      </c>
      <c r="R138">
        <v>100</v>
      </c>
    </row>
    <row r="139" spans="1:18" x14ac:dyDescent="0.25">
      <c r="A139" t="s">
        <v>281</v>
      </c>
      <c r="B139" t="s">
        <v>282</v>
      </c>
      <c r="C139">
        <v>51</v>
      </c>
      <c r="D139" t="s">
        <v>34</v>
      </c>
      <c r="E139" t="s">
        <v>48</v>
      </c>
      <c r="F139">
        <v>233.12</v>
      </c>
      <c r="G139">
        <v>2</v>
      </c>
      <c r="H139" t="s">
        <v>36</v>
      </c>
      <c r="I139">
        <v>8</v>
      </c>
      <c r="J139">
        <v>5</v>
      </c>
      <c r="K139" t="str">
        <f t="shared" si="2"/>
        <v>Regular cust</v>
      </c>
      <c r="L139" t="s">
        <v>551</v>
      </c>
      <c r="M139" t="s">
        <v>11</v>
      </c>
      <c r="N139">
        <v>0.05</v>
      </c>
      <c r="O139">
        <v>400000</v>
      </c>
      <c r="P139">
        <v>80</v>
      </c>
      <c r="Q139">
        <v>7</v>
      </c>
      <c r="R139">
        <v>40</v>
      </c>
    </row>
    <row r="140" spans="1:18" x14ac:dyDescent="0.25">
      <c r="A140" t="s">
        <v>283</v>
      </c>
      <c r="B140" t="s">
        <v>241</v>
      </c>
      <c r="C140">
        <v>28</v>
      </c>
      <c r="D140" t="s">
        <v>20</v>
      </c>
      <c r="E140" t="s">
        <v>35</v>
      </c>
      <c r="F140">
        <v>2778.63</v>
      </c>
      <c r="G140">
        <v>1</v>
      </c>
      <c r="H140" t="s">
        <v>39</v>
      </c>
      <c r="I140">
        <v>5</v>
      </c>
      <c r="J140">
        <v>1</v>
      </c>
      <c r="K140" t="str">
        <f t="shared" si="2"/>
        <v>Regular cust</v>
      </c>
      <c r="L140" t="s">
        <v>549</v>
      </c>
      <c r="M140" t="s">
        <v>39</v>
      </c>
      <c r="N140">
        <v>0.18</v>
      </c>
      <c r="O140">
        <v>450000</v>
      </c>
      <c r="P140">
        <v>50</v>
      </c>
      <c r="Q140">
        <v>15</v>
      </c>
      <c r="R140">
        <v>50</v>
      </c>
    </row>
    <row r="141" spans="1:18" x14ac:dyDescent="0.25">
      <c r="A141" t="s">
        <v>284</v>
      </c>
      <c r="B141" t="s">
        <v>38</v>
      </c>
      <c r="C141">
        <v>23</v>
      </c>
      <c r="D141" t="s">
        <v>20</v>
      </c>
      <c r="E141" t="s">
        <v>30</v>
      </c>
      <c r="F141">
        <v>2212.0700000000002</v>
      </c>
      <c r="G141">
        <v>4</v>
      </c>
      <c r="H141" t="s">
        <v>39</v>
      </c>
      <c r="I141">
        <v>6</v>
      </c>
      <c r="J141">
        <v>1</v>
      </c>
      <c r="K141" t="str">
        <f t="shared" si="2"/>
        <v>Regular cust</v>
      </c>
      <c r="L141" t="s">
        <v>547</v>
      </c>
      <c r="M141" t="s">
        <v>39</v>
      </c>
      <c r="N141">
        <v>0.12</v>
      </c>
      <c r="O141">
        <v>350000</v>
      </c>
      <c r="P141">
        <v>50</v>
      </c>
      <c r="Q141">
        <v>12</v>
      </c>
      <c r="R141">
        <v>100</v>
      </c>
    </row>
    <row r="142" spans="1:18" x14ac:dyDescent="0.25">
      <c r="A142" t="s">
        <v>285</v>
      </c>
      <c r="B142" t="s">
        <v>286</v>
      </c>
      <c r="C142">
        <v>56</v>
      </c>
      <c r="D142" t="s">
        <v>34</v>
      </c>
      <c r="E142" t="s">
        <v>30</v>
      </c>
      <c r="F142">
        <v>1371.94</v>
      </c>
      <c r="G142">
        <v>3</v>
      </c>
      <c r="H142" t="s">
        <v>22</v>
      </c>
      <c r="I142">
        <v>10</v>
      </c>
      <c r="J142">
        <v>4</v>
      </c>
      <c r="K142" t="str">
        <f t="shared" si="2"/>
        <v>Priority cust</v>
      </c>
      <c r="L142" t="s">
        <v>547</v>
      </c>
      <c r="M142" t="s">
        <v>544</v>
      </c>
      <c r="N142">
        <v>0.12</v>
      </c>
      <c r="O142">
        <v>350000</v>
      </c>
      <c r="P142">
        <v>31</v>
      </c>
      <c r="Q142">
        <v>12</v>
      </c>
      <c r="R142">
        <v>100</v>
      </c>
    </row>
    <row r="143" spans="1:18" x14ac:dyDescent="0.25">
      <c r="A143" t="s">
        <v>287</v>
      </c>
      <c r="B143" t="s">
        <v>288</v>
      </c>
      <c r="C143">
        <v>50</v>
      </c>
      <c r="D143" t="s">
        <v>29</v>
      </c>
      <c r="E143" t="s">
        <v>51</v>
      </c>
      <c r="F143">
        <v>4430.22</v>
      </c>
      <c r="G143">
        <v>5</v>
      </c>
      <c r="H143" t="s">
        <v>36</v>
      </c>
      <c r="I143">
        <v>9</v>
      </c>
      <c r="J143">
        <v>1</v>
      </c>
      <c r="K143" t="str">
        <f t="shared" si="2"/>
        <v>Regular cust</v>
      </c>
      <c r="L143" t="s">
        <v>552</v>
      </c>
      <c r="M143" t="s">
        <v>11</v>
      </c>
      <c r="N143">
        <v>0.14000000000000001</v>
      </c>
      <c r="O143">
        <v>300000</v>
      </c>
      <c r="P143">
        <v>80</v>
      </c>
      <c r="Q143">
        <v>12</v>
      </c>
      <c r="R143">
        <v>70</v>
      </c>
    </row>
    <row r="144" spans="1:18" x14ac:dyDescent="0.25">
      <c r="A144" t="s">
        <v>289</v>
      </c>
      <c r="B144" t="s">
        <v>111</v>
      </c>
      <c r="C144">
        <v>59</v>
      </c>
      <c r="D144" t="s">
        <v>29</v>
      </c>
      <c r="E144" t="s">
        <v>30</v>
      </c>
      <c r="F144">
        <v>3746.98</v>
      </c>
      <c r="G144">
        <v>4</v>
      </c>
      <c r="H144" t="s">
        <v>22</v>
      </c>
      <c r="I144">
        <v>7</v>
      </c>
      <c r="J144">
        <v>5</v>
      </c>
      <c r="K144" t="str">
        <f t="shared" si="2"/>
        <v>Priority cust</v>
      </c>
      <c r="L144" t="s">
        <v>547</v>
      </c>
      <c r="M144" t="s">
        <v>544</v>
      </c>
      <c r="N144">
        <v>0.12</v>
      </c>
      <c r="O144">
        <v>350000</v>
      </c>
      <c r="P144">
        <v>31</v>
      </c>
      <c r="Q144">
        <v>12</v>
      </c>
      <c r="R144">
        <v>100</v>
      </c>
    </row>
    <row r="145" spans="1:18" x14ac:dyDescent="0.25">
      <c r="A145" t="s">
        <v>290</v>
      </c>
      <c r="B145" t="s">
        <v>291</v>
      </c>
      <c r="C145">
        <v>49</v>
      </c>
      <c r="D145" t="s">
        <v>54</v>
      </c>
      <c r="E145" t="s">
        <v>51</v>
      </c>
      <c r="F145">
        <v>4204.0600000000004</v>
      </c>
      <c r="G145">
        <v>5</v>
      </c>
      <c r="H145" t="s">
        <v>36</v>
      </c>
      <c r="I145">
        <v>1</v>
      </c>
      <c r="J145">
        <v>5</v>
      </c>
      <c r="K145" t="str">
        <f t="shared" si="2"/>
        <v>Priority cust</v>
      </c>
      <c r="L145" t="s">
        <v>552</v>
      </c>
      <c r="M145" t="s">
        <v>11</v>
      </c>
      <c r="N145">
        <v>0.14000000000000001</v>
      </c>
      <c r="O145">
        <v>300000</v>
      </c>
      <c r="P145">
        <v>80</v>
      </c>
      <c r="Q145">
        <v>12</v>
      </c>
      <c r="R145">
        <v>70</v>
      </c>
    </row>
    <row r="146" spans="1:18" x14ac:dyDescent="0.25">
      <c r="A146" t="s">
        <v>292</v>
      </c>
      <c r="B146" t="s">
        <v>293</v>
      </c>
      <c r="C146">
        <v>32</v>
      </c>
      <c r="D146" t="s">
        <v>54</v>
      </c>
      <c r="E146" t="s">
        <v>26</v>
      </c>
      <c r="F146">
        <v>466.48</v>
      </c>
      <c r="G146">
        <v>5</v>
      </c>
      <c r="H146" t="s">
        <v>36</v>
      </c>
      <c r="I146">
        <v>2</v>
      </c>
      <c r="J146">
        <v>1</v>
      </c>
      <c r="K146" t="str">
        <f t="shared" si="2"/>
        <v>Regular cust</v>
      </c>
      <c r="L146" t="s">
        <v>545</v>
      </c>
      <c r="M146" t="s">
        <v>11</v>
      </c>
      <c r="N146">
        <v>0.12</v>
      </c>
      <c r="O146">
        <v>240000</v>
      </c>
      <c r="P146">
        <v>80</v>
      </c>
      <c r="Q146">
        <v>14</v>
      </c>
      <c r="R146">
        <v>30</v>
      </c>
    </row>
    <row r="147" spans="1:18" x14ac:dyDescent="0.25">
      <c r="A147" t="s">
        <v>294</v>
      </c>
      <c r="B147" t="s">
        <v>56</v>
      </c>
      <c r="C147">
        <v>26</v>
      </c>
      <c r="D147" t="s">
        <v>20</v>
      </c>
      <c r="E147" t="s">
        <v>30</v>
      </c>
      <c r="F147">
        <v>3934.88</v>
      </c>
      <c r="G147">
        <v>4</v>
      </c>
      <c r="H147" t="s">
        <v>22</v>
      </c>
      <c r="I147">
        <v>7</v>
      </c>
      <c r="J147">
        <v>1</v>
      </c>
      <c r="K147" t="str">
        <f t="shared" si="2"/>
        <v>Regular cust</v>
      </c>
      <c r="L147" t="s">
        <v>547</v>
      </c>
      <c r="M147" t="s">
        <v>544</v>
      </c>
      <c r="N147">
        <v>0.12</v>
      </c>
      <c r="O147">
        <v>350000</v>
      </c>
      <c r="P147">
        <v>31</v>
      </c>
      <c r="Q147">
        <v>12</v>
      </c>
      <c r="R147">
        <v>100</v>
      </c>
    </row>
    <row r="148" spans="1:18" x14ac:dyDescent="0.25">
      <c r="A148" t="s">
        <v>295</v>
      </c>
      <c r="B148" t="s">
        <v>296</v>
      </c>
      <c r="C148">
        <v>54</v>
      </c>
      <c r="D148" t="s">
        <v>54</v>
      </c>
      <c r="E148" t="s">
        <v>30</v>
      </c>
      <c r="F148">
        <v>261.57</v>
      </c>
      <c r="G148">
        <v>5</v>
      </c>
      <c r="H148" t="s">
        <v>36</v>
      </c>
      <c r="I148">
        <v>9</v>
      </c>
      <c r="J148">
        <v>4</v>
      </c>
      <c r="K148" t="str">
        <f t="shared" si="2"/>
        <v>Priority cust</v>
      </c>
      <c r="L148" t="s">
        <v>547</v>
      </c>
      <c r="M148" t="s">
        <v>11</v>
      </c>
      <c r="N148">
        <v>0.12</v>
      </c>
      <c r="O148">
        <v>350000</v>
      </c>
      <c r="P148">
        <v>80</v>
      </c>
      <c r="Q148">
        <v>12</v>
      </c>
      <c r="R148">
        <v>100</v>
      </c>
    </row>
    <row r="149" spans="1:18" x14ac:dyDescent="0.25">
      <c r="A149" t="s">
        <v>297</v>
      </c>
      <c r="B149" t="s">
        <v>298</v>
      </c>
      <c r="C149">
        <v>25</v>
      </c>
      <c r="D149" t="s">
        <v>20</v>
      </c>
      <c r="E149" t="s">
        <v>48</v>
      </c>
      <c r="F149">
        <v>915.42</v>
      </c>
      <c r="G149">
        <v>5</v>
      </c>
      <c r="H149" t="s">
        <v>36</v>
      </c>
      <c r="I149">
        <v>9</v>
      </c>
      <c r="J149">
        <v>1</v>
      </c>
      <c r="K149" t="str">
        <f t="shared" si="2"/>
        <v>Regular cust</v>
      </c>
      <c r="L149" t="s">
        <v>551</v>
      </c>
      <c r="M149" t="s">
        <v>11</v>
      </c>
      <c r="N149">
        <v>0.05</v>
      </c>
      <c r="O149">
        <v>400000</v>
      </c>
      <c r="P149">
        <v>80</v>
      </c>
      <c r="Q149">
        <v>7</v>
      </c>
      <c r="R149">
        <v>40</v>
      </c>
    </row>
    <row r="150" spans="1:18" x14ac:dyDescent="0.25">
      <c r="A150" t="s">
        <v>299</v>
      </c>
      <c r="B150" t="s">
        <v>300</v>
      </c>
      <c r="C150">
        <v>27</v>
      </c>
      <c r="D150" t="s">
        <v>54</v>
      </c>
      <c r="E150" t="s">
        <v>26</v>
      </c>
      <c r="F150">
        <v>1259.93</v>
      </c>
      <c r="G150">
        <v>3</v>
      </c>
      <c r="H150" t="s">
        <v>39</v>
      </c>
      <c r="I150">
        <v>10</v>
      </c>
      <c r="J150">
        <v>3</v>
      </c>
      <c r="K150" t="str">
        <f t="shared" si="2"/>
        <v>Regular cust</v>
      </c>
      <c r="L150" t="s">
        <v>545</v>
      </c>
      <c r="M150" t="s">
        <v>39</v>
      </c>
      <c r="N150">
        <v>0.12</v>
      </c>
      <c r="O150">
        <v>240000</v>
      </c>
      <c r="P150">
        <v>50</v>
      </c>
      <c r="Q150">
        <v>14</v>
      </c>
      <c r="R150">
        <v>30</v>
      </c>
    </row>
    <row r="151" spans="1:18" x14ac:dyDescent="0.25">
      <c r="A151" t="s">
        <v>301</v>
      </c>
      <c r="B151" t="s">
        <v>302</v>
      </c>
      <c r="C151">
        <v>21</v>
      </c>
      <c r="D151" t="s">
        <v>45</v>
      </c>
      <c r="E151" t="s">
        <v>30</v>
      </c>
      <c r="F151">
        <v>2426.61</v>
      </c>
      <c r="G151">
        <v>4</v>
      </c>
      <c r="H151" t="s">
        <v>31</v>
      </c>
      <c r="I151">
        <v>1</v>
      </c>
      <c r="J151">
        <v>2</v>
      </c>
      <c r="K151" t="str">
        <f t="shared" si="2"/>
        <v>Regular cust</v>
      </c>
      <c r="L151" t="s">
        <v>547</v>
      </c>
      <c r="M151" t="s">
        <v>548</v>
      </c>
      <c r="N151">
        <v>0.12</v>
      </c>
      <c r="O151">
        <v>350000</v>
      </c>
      <c r="P151">
        <v>50</v>
      </c>
      <c r="Q151">
        <v>12</v>
      </c>
      <c r="R151">
        <v>100</v>
      </c>
    </row>
    <row r="152" spans="1:18" x14ac:dyDescent="0.25">
      <c r="A152" t="s">
        <v>303</v>
      </c>
      <c r="B152" t="s">
        <v>304</v>
      </c>
      <c r="C152">
        <v>18</v>
      </c>
      <c r="D152" t="s">
        <v>34</v>
      </c>
      <c r="E152" t="s">
        <v>51</v>
      </c>
      <c r="F152">
        <v>2748.48</v>
      </c>
      <c r="G152">
        <v>4</v>
      </c>
      <c r="H152" t="s">
        <v>42</v>
      </c>
      <c r="I152">
        <v>6</v>
      </c>
      <c r="J152">
        <v>4</v>
      </c>
      <c r="K152" t="str">
        <f t="shared" si="2"/>
        <v>Priority cust</v>
      </c>
      <c r="L152" t="s">
        <v>552</v>
      </c>
      <c r="M152" t="s">
        <v>550</v>
      </c>
      <c r="N152">
        <v>0.14000000000000001</v>
      </c>
      <c r="O152">
        <v>300000</v>
      </c>
      <c r="P152">
        <v>90</v>
      </c>
      <c r="Q152">
        <v>12</v>
      </c>
      <c r="R152">
        <v>70</v>
      </c>
    </row>
    <row r="153" spans="1:18" x14ac:dyDescent="0.25">
      <c r="A153" t="s">
        <v>305</v>
      </c>
      <c r="B153" t="s">
        <v>128</v>
      </c>
      <c r="C153">
        <v>39</v>
      </c>
      <c r="D153" t="s">
        <v>25</v>
      </c>
      <c r="E153" t="s">
        <v>30</v>
      </c>
      <c r="F153">
        <v>806.53</v>
      </c>
      <c r="G153">
        <v>1</v>
      </c>
      <c r="H153" t="s">
        <v>36</v>
      </c>
      <c r="I153">
        <v>6</v>
      </c>
      <c r="J153">
        <v>5</v>
      </c>
      <c r="K153" t="str">
        <f t="shared" si="2"/>
        <v>Regular cust</v>
      </c>
      <c r="L153" t="s">
        <v>547</v>
      </c>
      <c r="M153" t="s">
        <v>11</v>
      </c>
      <c r="N153">
        <v>0.12</v>
      </c>
      <c r="O153">
        <v>350000</v>
      </c>
      <c r="P153">
        <v>80</v>
      </c>
      <c r="Q153">
        <v>12</v>
      </c>
      <c r="R153">
        <v>100</v>
      </c>
    </row>
    <row r="154" spans="1:18" x14ac:dyDescent="0.25">
      <c r="A154" t="s">
        <v>306</v>
      </c>
      <c r="B154" t="s">
        <v>241</v>
      </c>
      <c r="C154">
        <v>39</v>
      </c>
      <c r="D154" t="s">
        <v>54</v>
      </c>
      <c r="E154" t="s">
        <v>48</v>
      </c>
      <c r="F154">
        <v>3499.85</v>
      </c>
      <c r="G154">
        <v>3</v>
      </c>
      <c r="H154" t="s">
        <v>22</v>
      </c>
      <c r="I154">
        <v>6</v>
      </c>
      <c r="J154">
        <v>1</v>
      </c>
      <c r="K154" t="str">
        <f t="shared" si="2"/>
        <v>Regular cust</v>
      </c>
      <c r="L154" t="s">
        <v>551</v>
      </c>
      <c r="M154" t="s">
        <v>544</v>
      </c>
      <c r="N154">
        <v>0.05</v>
      </c>
      <c r="O154">
        <v>400000</v>
      </c>
      <c r="P154">
        <v>31</v>
      </c>
      <c r="Q154">
        <v>7</v>
      </c>
      <c r="R154">
        <v>40</v>
      </c>
    </row>
    <row r="155" spans="1:18" x14ac:dyDescent="0.25">
      <c r="A155" t="s">
        <v>307</v>
      </c>
      <c r="B155" t="s">
        <v>308</v>
      </c>
      <c r="C155">
        <v>57</v>
      </c>
      <c r="D155" t="s">
        <v>29</v>
      </c>
      <c r="E155" t="s">
        <v>48</v>
      </c>
      <c r="F155">
        <v>3274.59</v>
      </c>
      <c r="G155">
        <v>2</v>
      </c>
      <c r="H155" t="s">
        <v>31</v>
      </c>
      <c r="I155">
        <v>6</v>
      </c>
      <c r="J155">
        <v>1</v>
      </c>
      <c r="K155" t="str">
        <f t="shared" si="2"/>
        <v>Regular cust</v>
      </c>
      <c r="L155" t="s">
        <v>551</v>
      </c>
      <c r="M155" t="s">
        <v>548</v>
      </c>
      <c r="N155">
        <v>0.05</v>
      </c>
      <c r="O155">
        <v>400000</v>
      </c>
      <c r="P155">
        <v>50</v>
      </c>
      <c r="Q155">
        <v>7</v>
      </c>
      <c r="R155">
        <v>40</v>
      </c>
    </row>
    <row r="156" spans="1:18" x14ac:dyDescent="0.25">
      <c r="A156" t="s">
        <v>309</v>
      </c>
      <c r="B156" t="s">
        <v>310</v>
      </c>
      <c r="C156">
        <v>48</v>
      </c>
      <c r="D156" t="s">
        <v>20</v>
      </c>
      <c r="E156" t="s">
        <v>26</v>
      </c>
      <c r="F156">
        <v>3213.53</v>
      </c>
      <c r="G156">
        <v>3</v>
      </c>
      <c r="H156" t="s">
        <v>31</v>
      </c>
      <c r="I156">
        <v>7</v>
      </c>
      <c r="J156">
        <v>1</v>
      </c>
      <c r="K156" t="str">
        <f t="shared" si="2"/>
        <v>Regular cust</v>
      </c>
      <c r="L156" t="s">
        <v>545</v>
      </c>
      <c r="M156" t="s">
        <v>548</v>
      </c>
      <c r="N156">
        <v>0.12</v>
      </c>
      <c r="O156">
        <v>240000</v>
      </c>
      <c r="P156">
        <v>50</v>
      </c>
      <c r="Q156">
        <v>14</v>
      </c>
      <c r="R156">
        <v>30</v>
      </c>
    </row>
    <row r="157" spans="1:18" x14ac:dyDescent="0.25">
      <c r="A157" t="s">
        <v>311</v>
      </c>
      <c r="B157" t="s">
        <v>152</v>
      </c>
      <c r="C157">
        <v>18</v>
      </c>
      <c r="D157" t="s">
        <v>20</v>
      </c>
      <c r="E157" t="s">
        <v>48</v>
      </c>
      <c r="F157">
        <v>2000.95</v>
      </c>
      <c r="G157">
        <v>2</v>
      </c>
      <c r="H157" t="s">
        <v>39</v>
      </c>
      <c r="I157">
        <v>7</v>
      </c>
      <c r="J157">
        <v>4</v>
      </c>
      <c r="K157" t="str">
        <f t="shared" si="2"/>
        <v>Regular cust</v>
      </c>
      <c r="L157" t="s">
        <v>551</v>
      </c>
      <c r="M157" t="s">
        <v>39</v>
      </c>
      <c r="N157">
        <v>0.05</v>
      </c>
      <c r="O157">
        <v>400000</v>
      </c>
      <c r="P157">
        <v>50</v>
      </c>
      <c r="Q157">
        <v>7</v>
      </c>
      <c r="R157">
        <v>40</v>
      </c>
    </row>
    <row r="158" spans="1:18" x14ac:dyDescent="0.25">
      <c r="A158" t="s">
        <v>312</v>
      </c>
      <c r="B158" t="s">
        <v>313</v>
      </c>
      <c r="C158">
        <v>18</v>
      </c>
      <c r="D158" t="s">
        <v>29</v>
      </c>
      <c r="E158" t="s">
        <v>51</v>
      </c>
      <c r="F158">
        <v>1710.69</v>
      </c>
      <c r="G158">
        <v>5</v>
      </c>
      <c r="H158" t="s">
        <v>36</v>
      </c>
      <c r="I158">
        <v>2</v>
      </c>
      <c r="J158">
        <v>2</v>
      </c>
      <c r="K158" t="str">
        <f t="shared" si="2"/>
        <v>Regular cust</v>
      </c>
      <c r="L158" t="s">
        <v>552</v>
      </c>
      <c r="M158" t="s">
        <v>11</v>
      </c>
      <c r="N158">
        <v>0.14000000000000001</v>
      </c>
      <c r="O158">
        <v>300000</v>
      </c>
      <c r="P158">
        <v>80</v>
      </c>
      <c r="Q158">
        <v>12</v>
      </c>
      <c r="R158">
        <v>70</v>
      </c>
    </row>
    <row r="159" spans="1:18" x14ac:dyDescent="0.25">
      <c r="A159" t="s">
        <v>314</v>
      </c>
      <c r="B159" t="s">
        <v>315</v>
      </c>
      <c r="C159">
        <v>52</v>
      </c>
      <c r="D159" t="s">
        <v>25</v>
      </c>
      <c r="E159" t="s">
        <v>48</v>
      </c>
      <c r="F159">
        <v>1501.12</v>
      </c>
      <c r="G159">
        <v>5</v>
      </c>
      <c r="H159" t="s">
        <v>31</v>
      </c>
      <c r="I159">
        <v>7</v>
      </c>
      <c r="J159">
        <v>3</v>
      </c>
      <c r="K159" t="str">
        <f t="shared" si="2"/>
        <v>Regular cust</v>
      </c>
      <c r="L159" t="s">
        <v>551</v>
      </c>
      <c r="M159" t="s">
        <v>548</v>
      </c>
      <c r="N159">
        <v>0.05</v>
      </c>
      <c r="O159">
        <v>400000</v>
      </c>
      <c r="P159">
        <v>50</v>
      </c>
      <c r="Q159">
        <v>7</v>
      </c>
      <c r="R159">
        <v>40</v>
      </c>
    </row>
    <row r="160" spans="1:18" x14ac:dyDescent="0.25">
      <c r="A160" t="s">
        <v>316</v>
      </c>
      <c r="B160" t="s">
        <v>317</v>
      </c>
      <c r="C160">
        <v>28</v>
      </c>
      <c r="D160" t="s">
        <v>45</v>
      </c>
      <c r="E160" t="s">
        <v>35</v>
      </c>
      <c r="F160">
        <v>806.2</v>
      </c>
      <c r="G160">
        <v>1</v>
      </c>
      <c r="H160" t="s">
        <v>42</v>
      </c>
      <c r="I160">
        <v>1</v>
      </c>
      <c r="J160">
        <v>3</v>
      </c>
      <c r="K160" t="str">
        <f t="shared" si="2"/>
        <v>Regular cust</v>
      </c>
      <c r="L160" t="s">
        <v>549</v>
      </c>
      <c r="M160" t="s">
        <v>550</v>
      </c>
      <c r="N160">
        <v>0.18</v>
      </c>
      <c r="O160">
        <v>450000</v>
      </c>
      <c r="P160">
        <v>90</v>
      </c>
      <c r="Q160">
        <v>15</v>
      </c>
      <c r="R160">
        <v>50</v>
      </c>
    </row>
    <row r="161" spans="1:18" x14ac:dyDescent="0.25">
      <c r="A161" t="s">
        <v>318</v>
      </c>
      <c r="B161" t="s">
        <v>319</v>
      </c>
      <c r="C161">
        <v>59</v>
      </c>
      <c r="D161" t="s">
        <v>20</v>
      </c>
      <c r="E161" t="s">
        <v>26</v>
      </c>
      <c r="F161">
        <v>1483.91</v>
      </c>
      <c r="G161">
        <v>5</v>
      </c>
      <c r="H161" t="s">
        <v>42</v>
      </c>
      <c r="I161">
        <v>3</v>
      </c>
      <c r="J161">
        <v>5</v>
      </c>
      <c r="K161" t="str">
        <f t="shared" si="2"/>
        <v>Priority cust</v>
      </c>
      <c r="L161" t="s">
        <v>545</v>
      </c>
      <c r="M161" t="s">
        <v>550</v>
      </c>
      <c r="N161">
        <v>0.12</v>
      </c>
      <c r="O161">
        <v>240000</v>
      </c>
      <c r="P161">
        <v>90</v>
      </c>
      <c r="Q161">
        <v>14</v>
      </c>
      <c r="R161">
        <v>30</v>
      </c>
    </row>
    <row r="162" spans="1:18" x14ac:dyDescent="0.25">
      <c r="A162" t="s">
        <v>320</v>
      </c>
      <c r="B162" t="s">
        <v>321</v>
      </c>
      <c r="C162">
        <v>24</v>
      </c>
      <c r="D162" t="s">
        <v>45</v>
      </c>
      <c r="E162" t="s">
        <v>26</v>
      </c>
      <c r="F162">
        <v>1005.51</v>
      </c>
      <c r="G162">
        <v>2</v>
      </c>
      <c r="H162" t="s">
        <v>39</v>
      </c>
      <c r="I162">
        <v>1</v>
      </c>
      <c r="J162">
        <v>3</v>
      </c>
      <c r="K162" t="str">
        <f t="shared" si="2"/>
        <v>Regular cust</v>
      </c>
      <c r="L162" t="s">
        <v>545</v>
      </c>
      <c r="M162" t="s">
        <v>39</v>
      </c>
      <c r="N162">
        <v>0.12</v>
      </c>
      <c r="O162">
        <v>240000</v>
      </c>
      <c r="P162">
        <v>50</v>
      </c>
      <c r="Q162">
        <v>14</v>
      </c>
      <c r="R162">
        <v>30</v>
      </c>
    </row>
    <row r="163" spans="1:18" x14ac:dyDescent="0.25">
      <c r="A163" t="s">
        <v>322</v>
      </c>
      <c r="B163" t="s">
        <v>323</v>
      </c>
      <c r="C163">
        <v>38</v>
      </c>
      <c r="D163" t="s">
        <v>45</v>
      </c>
      <c r="E163" t="s">
        <v>21</v>
      </c>
      <c r="F163">
        <v>780.03</v>
      </c>
      <c r="G163">
        <v>2</v>
      </c>
      <c r="H163" t="s">
        <v>42</v>
      </c>
      <c r="I163">
        <v>9</v>
      </c>
      <c r="J163">
        <v>1</v>
      </c>
      <c r="K163" t="str">
        <f t="shared" si="2"/>
        <v>Regular cust</v>
      </c>
      <c r="L163" t="s">
        <v>543</v>
      </c>
      <c r="M163" t="s">
        <v>550</v>
      </c>
      <c r="N163">
        <v>0.1</v>
      </c>
      <c r="O163">
        <v>560000</v>
      </c>
      <c r="P163">
        <v>90</v>
      </c>
      <c r="Q163">
        <v>13</v>
      </c>
      <c r="R163">
        <v>60</v>
      </c>
    </row>
    <row r="164" spans="1:18" x14ac:dyDescent="0.25">
      <c r="A164" t="s">
        <v>324</v>
      </c>
      <c r="B164" t="s">
        <v>115</v>
      </c>
      <c r="C164">
        <v>19</v>
      </c>
      <c r="D164" t="s">
        <v>25</v>
      </c>
      <c r="E164" t="s">
        <v>51</v>
      </c>
      <c r="F164">
        <v>2577.54</v>
      </c>
      <c r="G164">
        <v>1</v>
      </c>
      <c r="H164" t="s">
        <v>39</v>
      </c>
      <c r="I164">
        <v>5</v>
      </c>
      <c r="J164">
        <v>1</v>
      </c>
      <c r="K164" t="str">
        <f t="shared" si="2"/>
        <v>Regular cust</v>
      </c>
      <c r="L164" t="s">
        <v>552</v>
      </c>
      <c r="M164" t="s">
        <v>39</v>
      </c>
      <c r="N164">
        <v>0.14000000000000001</v>
      </c>
      <c r="O164">
        <v>300000</v>
      </c>
      <c r="P164">
        <v>50</v>
      </c>
      <c r="Q164">
        <v>12</v>
      </c>
      <c r="R164">
        <v>70</v>
      </c>
    </row>
    <row r="165" spans="1:18" x14ac:dyDescent="0.25">
      <c r="A165" t="s">
        <v>325</v>
      </c>
      <c r="B165" t="s">
        <v>326</v>
      </c>
      <c r="C165">
        <v>35</v>
      </c>
      <c r="D165" t="s">
        <v>34</v>
      </c>
      <c r="E165" t="s">
        <v>51</v>
      </c>
      <c r="F165">
        <v>366.51</v>
      </c>
      <c r="G165">
        <v>3</v>
      </c>
      <c r="H165" t="s">
        <v>31</v>
      </c>
      <c r="I165">
        <v>7</v>
      </c>
      <c r="J165">
        <v>4</v>
      </c>
      <c r="K165" t="str">
        <f t="shared" si="2"/>
        <v>Priority cust</v>
      </c>
      <c r="L165" t="s">
        <v>552</v>
      </c>
      <c r="M165" t="s">
        <v>548</v>
      </c>
      <c r="N165">
        <v>0.14000000000000001</v>
      </c>
      <c r="O165">
        <v>300000</v>
      </c>
      <c r="P165">
        <v>50</v>
      </c>
      <c r="Q165">
        <v>12</v>
      </c>
      <c r="R165">
        <v>70</v>
      </c>
    </row>
    <row r="166" spans="1:18" x14ac:dyDescent="0.25">
      <c r="A166" t="s">
        <v>327</v>
      </c>
      <c r="B166" t="s">
        <v>328</v>
      </c>
      <c r="C166">
        <v>29</v>
      </c>
      <c r="D166" t="s">
        <v>54</v>
      </c>
      <c r="E166" t="s">
        <v>48</v>
      </c>
      <c r="F166">
        <v>4905.82</v>
      </c>
      <c r="G166">
        <v>2</v>
      </c>
      <c r="H166" t="s">
        <v>22</v>
      </c>
      <c r="I166">
        <v>3</v>
      </c>
      <c r="J166">
        <v>2</v>
      </c>
      <c r="K166" t="str">
        <f t="shared" si="2"/>
        <v>Regular cust</v>
      </c>
      <c r="L166" t="s">
        <v>551</v>
      </c>
      <c r="M166" t="s">
        <v>544</v>
      </c>
      <c r="N166">
        <v>0.05</v>
      </c>
      <c r="O166">
        <v>400000</v>
      </c>
      <c r="P166">
        <v>31</v>
      </c>
      <c r="Q166">
        <v>7</v>
      </c>
      <c r="R166">
        <v>40</v>
      </c>
    </row>
    <row r="167" spans="1:18" x14ac:dyDescent="0.25">
      <c r="A167" t="s">
        <v>329</v>
      </c>
      <c r="B167" t="s">
        <v>92</v>
      </c>
      <c r="C167">
        <v>36</v>
      </c>
      <c r="D167" t="s">
        <v>45</v>
      </c>
      <c r="E167" t="s">
        <v>30</v>
      </c>
      <c r="F167">
        <v>3343.63</v>
      </c>
      <c r="G167">
        <v>2</v>
      </c>
      <c r="H167" t="s">
        <v>36</v>
      </c>
      <c r="I167">
        <v>4</v>
      </c>
      <c r="J167">
        <v>2</v>
      </c>
      <c r="K167" t="str">
        <f t="shared" si="2"/>
        <v>Regular cust</v>
      </c>
      <c r="L167" t="s">
        <v>547</v>
      </c>
      <c r="M167" t="s">
        <v>11</v>
      </c>
      <c r="N167">
        <v>0.12</v>
      </c>
      <c r="O167">
        <v>350000</v>
      </c>
      <c r="P167">
        <v>80</v>
      </c>
      <c r="Q167">
        <v>12</v>
      </c>
      <c r="R167">
        <v>100</v>
      </c>
    </row>
    <row r="168" spans="1:18" x14ac:dyDescent="0.25">
      <c r="A168" t="s">
        <v>330</v>
      </c>
      <c r="B168" t="s">
        <v>331</v>
      </c>
      <c r="C168">
        <v>24</v>
      </c>
      <c r="D168" t="s">
        <v>29</v>
      </c>
      <c r="E168" t="s">
        <v>26</v>
      </c>
      <c r="F168">
        <v>2378.6799999999998</v>
      </c>
      <c r="G168">
        <v>2</v>
      </c>
      <c r="H168" t="s">
        <v>39</v>
      </c>
      <c r="I168">
        <v>6</v>
      </c>
      <c r="J168">
        <v>2</v>
      </c>
      <c r="K168" t="str">
        <f t="shared" si="2"/>
        <v>Regular cust</v>
      </c>
      <c r="L168" t="s">
        <v>545</v>
      </c>
      <c r="M168" t="s">
        <v>39</v>
      </c>
      <c r="N168">
        <v>0.12</v>
      </c>
      <c r="O168">
        <v>240000</v>
      </c>
      <c r="P168">
        <v>50</v>
      </c>
      <c r="Q168">
        <v>14</v>
      </c>
      <c r="R168">
        <v>30</v>
      </c>
    </row>
    <row r="169" spans="1:18" x14ac:dyDescent="0.25">
      <c r="A169" t="s">
        <v>332</v>
      </c>
      <c r="B169" t="s">
        <v>333</v>
      </c>
      <c r="C169">
        <v>42</v>
      </c>
      <c r="D169" t="s">
        <v>54</v>
      </c>
      <c r="E169" t="s">
        <v>48</v>
      </c>
      <c r="F169">
        <v>3452.45</v>
      </c>
      <c r="G169">
        <v>2</v>
      </c>
      <c r="H169" t="s">
        <v>42</v>
      </c>
      <c r="I169">
        <v>10</v>
      </c>
      <c r="J169">
        <v>1</v>
      </c>
      <c r="K169" t="str">
        <f t="shared" si="2"/>
        <v>Regular cust</v>
      </c>
      <c r="L169" t="s">
        <v>551</v>
      </c>
      <c r="M169" t="s">
        <v>550</v>
      </c>
      <c r="N169">
        <v>0.05</v>
      </c>
      <c r="O169">
        <v>400000</v>
      </c>
      <c r="P169">
        <v>90</v>
      </c>
      <c r="Q169">
        <v>7</v>
      </c>
      <c r="R169">
        <v>40</v>
      </c>
    </row>
    <row r="170" spans="1:18" x14ac:dyDescent="0.25">
      <c r="A170" t="s">
        <v>334</v>
      </c>
      <c r="B170" t="s">
        <v>175</v>
      </c>
      <c r="C170">
        <v>32</v>
      </c>
      <c r="D170" t="s">
        <v>29</v>
      </c>
      <c r="E170" t="s">
        <v>48</v>
      </c>
      <c r="F170">
        <v>4424.59</v>
      </c>
      <c r="G170">
        <v>2</v>
      </c>
      <c r="H170" t="s">
        <v>39</v>
      </c>
      <c r="I170">
        <v>9</v>
      </c>
      <c r="J170">
        <v>4</v>
      </c>
      <c r="K170" t="str">
        <f t="shared" si="2"/>
        <v>Regular cust</v>
      </c>
      <c r="L170" t="s">
        <v>551</v>
      </c>
      <c r="M170" t="s">
        <v>39</v>
      </c>
      <c r="N170">
        <v>0.05</v>
      </c>
      <c r="O170">
        <v>400000</v>
      </c>
      <c r="P170">
        <v>50</v>
      </c>
      <c r="Q170">
        <v>7</v>
      </c>
      <c r="R170">
        <v>40</v>
      </c>
    </row>
    <row r="171" spans="1:18" x14ac:dyDescent="0.25">
      <c r="A171" t="s">
        <v>335</v>
      </c>
      <c r="B171" t="s">
        <v>336</v>
      </c>
      <c r="C171">
        <v>49</v>
      </c>
      <c r="D171" t="s">
        <v>25</v>
      </c>
      <c r="E171" t="s">
        <v>35</v>
      </c>
      <c r="F171">
        <v>273.33999999999997</v>
      </c>
      <c r="G171">
        <v>3</v>
      </c>
      <c r="H171" t="s">
        <v>36</v>
      </c>
      <c r="I171">
        <v>1</v>
      </c>
      <c r="J171">
        <v>5</v>
      </c>
      <c r="K171" t="str">
        <f t="shared" si="2"/>
        <v>Priority cust</v>
      </c>
      <c r="L171" t="s">
        <v>549</v>
      </c>
      <c r="M171" t="s">
        <v>11</v>
      </c>
      <c r="N171">
        <v>0.18</v>
      </c>
      <c r="O171">
        <v>450000</v>
      </c>
      <c r="P171">
        <v>80</v>
      </c>
      <c r="Q171">
        <v>15</v>
      </c>
      <c r="R171">
        <v>50</v>
      </c>
    </row>
    <row r="172" spans="1:18" x14ac:dyDescent="0.25">
      <c r="A172" t="s">
        <v>337</v>
      </c>
      <c r="B172" t="s">
        <v>338</v>
      </c>
      <c r="C172">
        <v>43</v>
      </c>
      <c r="D172" t="s">
        <v>29</v>
      </c>
      <c r="E172" t="s">
        <v>35</v>
      </c>
      <c r="F172">
        <v>2507.02</v>
      </c>
      <c r="G172">
        <v>5</v>
      </c>
      <c r="H172" t="s">
        <v>39</v>
      </c>
      <c r="I172">
        <v>5</v>
      </c>
      <c r="J172">
        <v>2</v>
      </c>
      <c r="K172" t="str">
        <f t="shared" si="2"/>
        <v>Regular cust</v>
      </c>
      <c r="L172" t="s">
        <v>549</v>
      </c>
      <c r="M172" t="s">
        <v>39</v>
      </c>
      <c r="N172">
        <v>0.18</v>
      </c>
      <c r="O172">
        <v>450000</v>
      </c>
      <c r="P172">
        <v>50</v>
      </c>
      <c r="Q172">
        <v>15</v>
      </c>
      <c r="R172">
        <v>50</v>
      </c>
    </row>
    <row r="173" spans="1:18" x14ac:dyDescent="0.25">
      <c r="A173" t="s">
        <v>339</v>
      </c>
      <c r="B173" t="s">
        <v>152</v>
      </c>
      <c r="C173">
        <v>20</v>
      </c>
      <c r="D173" t="s">
        <v>34</v>
      </c>
      <c r="E173" t="s">
        <v>21</v>
      </c>
      <c r="F173">
        <v>495.35</v>
      </c>
      <c r="G173">
        <v>2</v>
      </c>
      <c r="H173" t="s">
        <v>36</v>
      </c>
      <c r="I173">
        <v>3</v>
      </c>
      <c r="J173">
        <v>1</v>
      </c>
      <c r="K173" t="str">
        <f t="shared" si="2"/>
        <v>Regular cust</v>
      </c>
      <c r="L173" t="s">
        <v>543</v>
      </c>
      <c r="M173" t="s">
        <v>11</v>
      </c>
      <c r="N173">
        <v>0.1</v>
      </c>
      <c r="O173">
        <v>560000</v>
      </c>
      <c r="P173">
        <v>80</v>
      </c>
      <c r="Q173">
        <v>13</v>
      </c>
      <c r="R173">
        <v>60</v>
      </c>
    </row>
    <row r="174" spans="1:18" x14ac:dyDescent="0.25">
      <c r="A174" t="s">
        <v>340</v>
      </c>
      <c r="B174" t="s">
        <v>214</v>
      </c>
      <c r="C174">
        <v>22</v>
      </c>
      <c r="D174" t="s">
        <v>54</v>
      </c>
      <c r="E174" t="s">
        <v>21</v>
      </c>
      <c r="F174">
        <v>2816.06</v>
      </c>
      <c r="G174">
        <v>1</v>
      </c>
      <c r="H174" t="s">
        <v>39</v>
      </c>
      <c r="I174">
        <v>9</v>
      </c>
      <c r="J174">
        <v>1</v>
      </c>
      <c r="K174" t="str">
        <f t="shared" si="2"/>
        <v>Regular cust</v>
      </c>
      <c r="L174" t="s">
        <v>543</v>
      </c>
      <c r="M174" t="s">
        <v>39</v>
      </c>
      <c r="N174">
        <v>0.1</v>
      </c>
      <c r="O174">
        <v>560000</v>
      </c>
      <c r="P174">
        <v>50</v>
      </c>
      <c r="Q174">
        <v>13</v>
      </c>
      <c r="R174">
        <v>60</v>
      </c>
    </row>
    <row r="175" spans="1:18" x14ac:dyDescent="0.25">
      <c r="A175" t="s">
        <v>341</v>
      </c>
      <c r="B175" t="s">
        <v>342</v>
      </c>
      <c r="C175">
        <v>26</v>
      </c>
      <c r="D175" t="s">
        <v>45</v>
      </c>
      <c r="E175" t="s">
        <v>21</v>
      </c>
      <c r="F175">
        <v>4688.0200000000004</v>
      </c>
      <c r="G175">
        <v>2</v>
      </c>
      <c r="H175" t="s">
        <v>31</v>
      </c>
      <c r="I175">
        <v>2</v>
      </c>
      <c r="J175">
        <v>2</v>
      </c>
      <c r="K175" t="str">
        <f t="shared" si="2"/>
        <v>Regular cust</v>
      </c>
      <c r="L175" t="s">
        <v>543</v>
      </c>
      <c r="M175" t="s">
        <v>548</v>
      </c>
      <c r="N175">
        <v>0.1</v>
      </c>
      <c r="O175">
        <v>560000</v>
      </c>
      <c r="P175">
        <v>50</v>
      </c>
      <c r="Q175">
        <v>13</v>
      </c>
      <c r="R175">
        <v>60</v>
      </c>
    </row>
    <row r="176" spans="1:18" x14ac:dyDescent="0.25">
      <c r="A176" t="s">
        <v>343</v>
      </c>
      <c r="B176" t="s">
        <v>344</v>
      </c>
      <c r="C176">
        <v>51</v>
      </c>
      <c r="D176" t="s">
        <v>29</v>
      </c>
      <c r="E176" t="s">
        <v>26</v>
      </c>
      <c r="F176">
        <v>1545.27</v>
      </c>
      <c r="G176">
        <v>1</v>
      </c>
      <c r="H176" t="s">
        <v>42</v>
      </c>
      <c r="I176">
        <v>5</v>
      </c>
      <c r="J176">
        <v>4</v>
      </c>
      <c r="K176" t="str">
        <f t="shared" si="2"/>
        <v>Regular cust</v>
      </c>
      <c r="L176" t="s">
        <v>545</v>
      </c>
      <c r="M176" t="s">
        <v>550</v>
      </c>
      <c r="N176">
        <v>0.12</v>
      </c>
      <c r="O176">
        <v>240000</v>
      </c>
      <c r="P176">
        <v>90</v>
      </c>
      <c r="Q176">
        <v>14</v>
      </c>
      <c r="R176">
        <v>30</v>
      </c>
    </row>
    <row r="177" spans="1:18" x14ac:dyDescent="0.25">
      <c r="A177" t="s">
        <v>345</v>
      </c>
      <c r="B177" t="s">
        <v>319</v>
      </c>
      <c r="C177">
        <v>21</v>
      </c>
      <c r="D177" t="s">
        <v>20</v>
      </c>
      <c r="E177" t="s">
        <v>51</v>
      </c>
      <c r="F177">
        <v>4781.78</v>
      </c>
      <c r="G177">
        <v>3</v>
      </c>
      <c r="H177" t="s">
        <v>39</v>
      </c>
      <c r="I177">
        <v>8</v>
      </c>
      <c r="J177">
        <v>4</v>
      </c>
      <c r="K177" t="str">
        <f t="shared" si="2"/>
        <v>Priority cust</v>
      </c>
      <c r="L177" t="s">
        <v>552</v>
      </c>
      <c r="M177" t="s">
        <v>39</v>
      </c>
      <c r="N177">
        <v>0.14000000000000001</v>
      </c>
      <c r="O177">
        <v>300000</v>
      </c>
      <c r="P177">
        <v>50</v>
      </c>
      <c r="Q177">
        <v>12</v>
      </c>
      <c r="R177">
        <v>70</v>
      </c>
    </row>
    <row r="178" spans="1:18" x14ac:dyDescent="0.25">
      <c r="A178" t="s">
        <v>346</v>
      </c>
      <c r="B178" t="s">
        <v>347</v>
      </c>
      <c r="C178">
        <v>59</v>
      </c>
      <c r="D178" t="s">
        <v>29</v>
      </c>
      <c r="E178" t="s">
        <v>35</v>
      </c>
      <c r="F178">
        <v>1358.01</v>
      </c>
      <c r="G178">
        <v>5</v>
      </c>
      <c r="H178" t="s">
        <v>42</v>
      </c>
      <c r="I178">
        <v>6</v>
      </c>
      <c r="J178">
        <v>4</v>
      </c>
      <c r="K178" t="str">
        <f t="shared" si="2"/>
        <v>Priority cust</v>
      </c>
      <c r="L178" t="s">
        <v>549</v>
      </c>
      <c r="M178" t="s">
        <v>550</v>
      </c>
      <c r="N178">
        <v>0.18</v>
      </c>
      <c r="O178">
        <v>450000</v>
      </c>
      <c r="P178">
        <v>90</v>
      </c>
      <c r="Q178">
        <v>15</v>
      </c>
      <c r="R178">
        <v>50</v>
      </c>
    </row>
    <row r="179" spans="1:18" x14ac:dyDescent="0.25">
      <c r="A179" t="s">
        <v>348</v>
      </c>
      <c r="B179" t="s">
        <v>300</v>
      </c>
      <c r="C179">
        <v>19</v>
      </c>
      <c r="D179" t="s">
        <v>25</v>
      </c>
      <c r="E179" t="s">
        <v>51</v>
      </c>
      <c r="F179">
        <v>791.17</v>
      </c>
      <c r="G179">
        <v>2</v>
      </c>
      <c r="H179" t="s">
        <v>36</v>
      </c>
      <c r="I179">
        <v>9</v>
      </c>
      <c r="J179">
        <v>3</v>
      </c>
      <c r="K179" t="str">
        <f t="shared" si="2"/>
        <v>Regular cust</v>
      </c>
      <c r="L179" t="s">
        <v>552</v>
      </c>
      <c r="M179" t="s">
        <v>11</v>
      </c>
      <c r="N179">
        <v>0.14000000000000001</v>
      </c>
      <c r="O179">
        <v>300000</v>
      </c>
      <c r="P179">
        <v>80</v>
      </c>
      <c r="Q179">
        <v>12</v>
      </c>
      <c r="R179">
        <v>70</v>
      </c>
    </row>
    <row r="180" spans="1:18" x14ac:dyDescent="0.25">
      <c r="A180" t="s">
        <v>349</v>
      </c>
      <c r="B180" t="s">
        <v>350</v>
      </c>
      <c r="C180">
        <v>32</v>
      </c>
      <c r="D180" t="s">
        <v>20</v>
      </c>
      <c r="E180" t="s">
        <v>30</v>
      </c>
      <c r="F180">
        <v>3412.65</v>
      </c>
      <c r="G180">
        <v>4</v>
      </c>
      <c r="H180" t="s">
        <v>39</v>
      </c>
      <c r="I180">
        <v>1</v>
      </c>
      <c r="J180">
        <v>3</v>
      </c>
      <c r="K180" t="str">
        <f t="shared" si="2"/>
        <v>Regular cust</v>
      </c>
      <c r="L180" t="s">
        <v>547</v>
      </c>
      <c r="M180" t="s">
        <v>39</v>
      </c>
      <c r="N180">
        <v>0.12</v>
      </c>
      <c r="O180">
        <v>350000</v>
      </c>
      <c r="P180">
        <v>50</v>
      </c>
      <c r="Q180">
        <v>12</v>
      </c>
      <c r="R180">
        <v>100</v>
      </c>
    </row>
    <row r="181" spans="1:18" x14ac:dyDescent="0.25">
      <c r="A181" t="s">
        <v>351</v>
      </c>
      <c r="B181" t="s">
        <v>352</v>
      </c>
      <c r="C181">
        <v>27</v>
      </c>
      <c r="D181" t="s">
        <v>34</v>
      </c>
      <c r="E181" t="s">
        <v>51</v>
      </c>
      <c r="F181">
        <v>2375.9899999999998</v>
      </c>
      <c r="G181">
        <v>5</v>
      </c>
      <c r="H181" t="s">
        <v>42</v>
      </c>
      <c r="I181">
        <v>8</v>
      </c>
      <c r="J181">
        <v>4</v>
      </c>
      <c r="K181" t="str">
        <f t="shared" si="2"/>
        <v>Priority cust</v>
      </c>
      <c r="L181" t="s">
        <v>552</v>
      </c>
      <c r="M181" t="s">
        <v>550</v>
      </c>
      <c r="N181">
        <v>0.14000000000000001</v>
      </c>
      <c r="O181">
        <v>300000</v>
      </c>
      <c r="P181">
        <v>90</v>
      </c>
      <c r="Q181">
        <v>12</v>
      </c>
      <c r="R181">
        <v>70</v>
      </c>
    </row>
    <row r="182" spans="1:18" x14ac:dyDescent="0.25">
      <c r="A182" t="s">
        <v>353</v>
      </c>
      <c r="B182" t="s">
        <v>354</v>
      </c>
      <c r="C182">
        <v>36</v>
      </c>
      <c r="D182" t="s">
        <v>45</v>
      </c>
      <c r="E182" t="s">
        <v>26</v>
      </c>
      <c r="F182">
        <v>2288.9699999999998</v>
      </c>
      <c r="G182">
        <v>1</v>
      </c>
      <c r="H182" t="s">
        <v>22</v>
      </c>
      <c r="I182">
        <v>2</v>
      </c>
      <c r="J182">
        <v>1</v>
      </c>
      <c r="K182" t="str">
        <f t="shared" si="2"/>
        <v>Regular cust</v>
      </c>
      <c r="L182" t="s">
        <v>545</v>
      </c>
      <c r="M182" t="s">
        <v>544</v>
      </c>
      <c r="N182">
        <v>0.12</v>
      </c>
      <c r="O182">
        <v>240000</v>
      </c>
      <c r="P182">
        <v>31</v>
      </c>
      <c r="Q182">
        <v>14</v>
      </c>
      <c r="R182">
        <v>30</v>
      </c>
    </row>
    <row r="183" spans="1:18" x14ac:dyDescent="0.25">
      <c r="A183" t="s">
        <v>355</v>
      </c>
      <c r="B183" t="s">
        <v>313</v>
      </c>
      <c r="C183">
        <v>38</v>
      </c>
      <c r="D183" t="s">
        <v>25</v>
      </c>
      <c r="E183" t="s">
        <v>21</v>
      </c>
      <c r="F183">
        <v>1239.43</v>
      </c>
      <c r="G183">
        <v>1</v>
      </c>
      <c r="H183" t="s">
        <v>31</v>
      </c>
      <c r="I183">
        <v>2</v>
      </c>
      <c r="J183">
        <v>2</v>
      </c>
      <c r="K183" t="str">
        <f t="shared" si="2"/>
        <v>Regular cust</v>
      </c>
      <c r="L183" t="s">
        <v>543</v>
      </c>
      <c r="M183" t="s">
        <v>548</v>
      </c>
      <c r="N183">
        <v>0.1</v>
      </c>
      <c r="O183">
        <v>560000</v>
      </c>
      <c r="P183">
        <v>50</v>
      </c>
      <c r="Q183">
        <v>13</v>
      </c>
      <c r="R183">
        <v>60</v>
      </c>
    </row>
    <row r="184" spans="1:18" x14ac:dyDescent="0.25">
      <c r="A184" t="s">
        <v>356</v>
      </c>
      <c r="B184" t="s">
        <v>357</v>
      </c>
      <c r="C184">
        <v>18</v>
      </c>
      <c r="D184" t="s">
        <v>45</v>
      </c>
      <c r="E184" t="s">
        <v>30</v>
      </c>
      <c r="F184">
        <v>3557.98</v>
      </c>
      <c r="G184">
        <v>3</v>
      </c>
      <c r="H184" t="s">
        <v>36</v>
      </c>
      <c r="I184">
        <v>5</v>
      </c>
      <c r="J184">
        <v>1</v>
      </c>
      <c r="K184" t="str">
        <f t="shared" si="2"/>
        <v>Regular cust</v>
      </c>
      <c r="L184" t="s">
        <v>547</v>
      </c>
      <c r="M184" t="s">
        <v>11</v>
      </c>
      <c r="N184">
        <v>0.12</v>
      </c>
      <c r="O184">
        <v>350000</v>
      </c>
      <c r="P184">
        <v>80</v>
      </c>
      <c r="Q184">
        <v>12</v>
      </c>
      <c r="R184">
        <v>100</v>
      </c>
    </row>
    <row r="185" spans="1:18" x14ac:dyDescent="0.25">
      <c r="A185" t="s">
        <v>358</v>
      </c>
      <c r="B185" t="s">
        <v>122</v>
      </c>
      <c r="C185">
        <v>23</v>
      </c>
      <c r="D185" t="s">
        <v>45</v>
      </c>
      <c r="E185" t="s">
        <v>48</v>
      </c>
      <c r="F185">
        <v>3716.02</v>
      </c>
      <c r="G185">
        <v>5</v>
      </c>
      <c r="H185" t="s">
        <v>31</v>
      </c>
      <c r="I185">
        <v>9</v>
      </c>
      <c r="J185">
        <v>4</v>
      </c>
      <c r="K185" t="str">
        <f t="shared" si="2"/>
        <v>Priority cust</v>
      </c>
      <c r="L185" t="s">
        <v>551</v>
      </c>
      <c r="M185" t="s">
        <v>548</v>
      </c>
      <c r="N185">
        <v>0.05</v>
      </c>
      <c r="O185">
        <v>400000</v>
      </c>
      <c r="P185">
        <v>50</v>
      </c>
      <c r="Q185">
        <v>7</v>
      </c>
      <c r="R185">
        <v>40</v>
      </c>
    </row>
    <row r="186" spans="1:18" x14ac:dyDescent="0.25">
      <c r="A186" t="s">
        <v>359</v>
      </c>
      <c r="B186" t="s">
        <v>360</v>
      </c>
      <c r="C186">
        <v>41</v>
      </c>
      <c r="D186" t="s">
        <v>20</v>
      </c>
      <c r="E186" t="s">
        <v>30</v>
      </c>
      <c r="F186">
        <v>766.22</v>
      </c>
      <c r="G186">
        <v>5</v>
      </c>
      <c r="H186" t="s">
        <v>42</v>
      </c>
      <c r="I186">
        <v>9</v>
      </c>
      <c r="J186">
        <v>4</v>
      </c>
      <c r="K186" t="str">
        <f t="shared" si="2"/>
        <v>Priority cust</v>
      </c>
      <c r="L186" t="s">
        <v>547</v>
      </c>
      <c r="M186" t="s">
        <v>550</v>
      </c>
      <c r="N186">
        <v>0.12</v>
      </c>
      <c r="O186">
        <v>350000</v>
      </c>
      <c r="P186">
        <v>90</v>
      </c>
      <c r="Q186">
        <v>12</v>
      </c>
      <c r="R186">
        <v>100</v>
      </c>
    </row>
    <row r="187" spans="1:18" x14ac:dyDescent="0.25">
      <c r="A187" t="s">
        <v>361</v>
      </c>
      <c r="B187" t="s">
        <v>362</v>
      </c>
      <c r="C187">
        <v>50</v>
      </c>
      <c r="D187" t="s">
        <v>25</v>
      </c>
      <c r="E187" t="s">
        <v>48</v>
      </c>
      <c r="F187">
        <v>1533.37</v>
      </c>
      <c r="G187">
        <v>1</v>
      </c>
      <c r="H187" t="s">
        <v>36</v>
      </c>
      <c r="I187">
        <v>9</v>
      </c>
      <c r="J187">
        <v>1</v>
      </c>
      <c r="K187" t="str">
        <f t="shared" si="2"/>
        <v>Regular cust</v>
      </c>
      <c r="L187" t="s">
        <v>551</v>
      </c>
      <c r="M187" t="s">
        <v>11</v>
      </c>
      <c r="N187">
        <v>0.05</v>
      </c>
      <c r="O187">
        <v>400000</v>
      </c>
      <c r="P187">
        <v>80</v>
      </c>
      <c r="Q187">
        <v>7</v>
      </c>
      <c r="R187">
        <v>40</v>
      </c>
    </row>
    <row r="188" spans="1:18" x14ac:dyDescent="0.25">
      <c r="A188" t="s">
        <v>363</v>
      </c>
      <c r="B188" t="s">
        <v>364</v>
      </c>
      <c r="C188">
        <v>31</v>
      </c>
      <c r="D188" t="s">
        <v>45</v>
      </c>
      <c r="E188" t="s">
        <v>48</v>
      </c>
      <c r="F188">
        <v>2303.31</v>
      </c>
      <c r="G188">
        <v>4</v>
      </c>
      <c r="H188" t="s">
        <v>36</v>
      </c>
      <c r="I188">
        <v>7</v>
      </c>
      <c r="J188">
        <v>3</v>
      </c>
      <c r="K188" t="str">
        <f t="shared" si="2"/>
        <v>Regular cust</v>
      </c>
      <c r="L188" t="s">
        <v>551</v>
      </c>
      <c r="M188" t="s">
        <v>11</v>
      </c>
      <c r="N188">
        <v>0.05</v>
      </c>
      <c r="O188">
        <v>400000</v>
      </c>
      <c r="P188">
        <v>80</v>
      </c>
      <c r="Q188">
        <v>7</v>
      </c>
      <c r="R188">
        <v>40</v>
      </c>
    </row>
    <row r="189" spans="1:18" x14ac:dyDescent="0.25">
      <c r="A189" t="s">
        <v>365</v>
      </c>
      <c r="B189" t="s">
        <v>50</v>
      </c>
      <c r="C189">
        <v>29</v>
      </c>
      <c r="D189" t="s">
        <v>25</v>
      </c>
      <c r="E189" t="s">
        <v>48</v>
      </c>
      <c r="F189">
        <v>3105.81</v>
      </c>
      <c r="G189">
        <v>3</v>
      </c>
      <c r="H189" t="s">
        <v>31</v>
      </c>
      <c r="I189">
        <v>5</v>
      </c>
      <c r="J189">
        <v>5</v>
      </c>
      <c r="K189" t="str">
        <f t="shared" si="2"/>
        <v>Priority cust</v>
      </c>
      <c r="L189" t="s">
        <v>551</v>
      </c>
      <c r="M189" t="s">
        <v>548</v>
      </c>
      <c r="N189">
        <v>0.05</v>
      </c>
      <c r="O189">
        <v>400000</v>
      </c>
      <c r="P189">
        <v>50</v>
      </c>
      <c r="Q189">
        <v>7</v>
      </c>
      <c r="R189">
        <v>40</v>
      </c>
    </row>
    <row r="190" spans="1:18" x14ac:dyDescent="0.25">
      <c r="A190" t="s">
        <v>366</v>
      </c>
      <c r="B190" t="s">
        <v>148</v>
      </c>
      <c r="C190">
        <v>44</v>
      </c>
      <c r="D190" t="s">
        <v>54</v>
      </c>
      <c r="E190" t="s">
        <v>35</v>
      </c>
      <c r="F190">
        <v>4908.72</v>
      </c>
      <c r="G190">
        <v>5</v>
      </c>
      <c r="H190" t="s">
        <v>31</v>
      </c>
      <c r="I190">
        <v>1</v>
      </c>
      <c r="J190">
        <v>4</v>
      </c>
      <c r="K190" t="str">
        <f t="shared" si="2"/>
        <v>Priority cust</v>
      </c>
      <c r="L190" t="s">
        <v>549</v>
      </c>
      <c r="M190" t="s">
        <v>548</v>
      </c>
      <c r="N190">
        <v>0.18</v>
      </c>
      <c r="O190">
        <v>450000</v>
      </c>
      <c r="P190">
        <v>50</v>
      </c>
      <c r="Q190">
        <v>15</v>
      </c>
      <c r="R190">
        <v>50</v>
      </c>
    </row>
    <row r="191" spans="1:18" x14ac:dyDescent="0.25">
      <c r="A191" t="s">
        <v>367</v>
      </c>
      <c r="B191" t="s">
        <v>166</v>
      </c>
      <c r="C191">
        <v>42</v>
      </c>
      <c r="D191" t="s">
        <v>20</v>
      </c>
      <c r="E191" t="s">
        <v>30</v>
      </c>
      <c r="F191">
        <v>2817.36</v>
      </c>
      <c r="G191">
        <v>3</v>
      </c>
      <c r="H191" t="s">
        <v>39</v>
      </c>
      <c r="I191">
        <v>9</v>
      </c>
      <c r="J191">
        <v>1</v>
      </c>
      <c r="K191" t="str">
        <f t="shared" si="2"/>
        <v>Regular cust</v>
      </c>
      <c r="L191" t="s">
        <v>547</v>
      </c>
      <c r="M191" t="s">
        <v>39</v>
      </c>
      <c r="N191">
        <v>0.12</v>
      </c>
      <c r="O191">
        <v>350000</v>
      </c>
      <c r="P191">
        <v>50</v>
      </c>
      <c r="Q191">
        <v>12</v>
      </c>
      <c r="R191">
        <v>100</v>
      </c>
    </row>
    <row r="192" spans="1:18" x14ac:dyDescent="0.25">
      <c r="A192" t="s">
        <v>368</v>
      </c>
      <c r="B192" t="s">
        <v>331</v>
      </c>
      <c r="C192">
        <v>60</v>
      </c>
      <c r="D192" t="s">
        <v>20</v>
      </c>
      <c r="E192" t="s">
        <v>30</v>
      </c>
      <c r="F192">
        <v>4861.29</v>
      </c>
      <c r="G192">
        <v>1</v>
      </c>
      <c r="H192" t="s">
        <v>22</v>
      </c>
      <c r="I192">
        <v>4</v>
      </c>
      <c r="J192">
        <v>3</v>
      </c>
      <c r="K192" t="str">
        <f t="shared" si="2"/>
        <v>Regular cust</v>
      </c>
      <c r="L192" t="s">
        <v>547</v>
      </c>
      <c r="M192" t="s">
        <v>544</v>
      </c>
      <c r="N192">
        <v>0.12</v>
      </c>
      <c r="O192">
        <v>350000</v>
      </c>
      <c r="P192">
        <v>31</v>
      </c>
      <c r="Q192">
        <v>12</v>
      </c>
      <c r="R192">
        <v>100</v>
      </c>
    </row>
    <row r="193" spans="1:18" x14ac:dyDescent="0.25">
      <c r="A193" t="s">
        <v>369</v>
      </c>
      <c r="B193" t="s">
        <v>370</v>
      </c>
      <c r="C193">
        <v>57</v>
      </c>
      <c r="D193" t="s">
        <v>20</v>
      </c>
      <c r="E193" t="s">
        <v>30</v>
      </c>
      <c r="F193">
        <v>2440.0700000000002</v>
      </c>
      <c r="G193">
        <v>5</v>
      </c>
      <c r="H193" t="s">
        <v>42</v>
      </c>
      <c r="I193">
        <v>5</v>
      </c>
      <c r="J193">
        <v>3</v>
      </c>
      <c r="K193" t="str">
        <f t="shared" si="2"/>
        <v>Regular cust</v>
      </c>
      <c r="L193" t="s">
        <v>547</v>
      </c>
      <c r="M193" t="s">
        <v>550</v>
      </c>
      <c r="N193">
        <v>0.12</v>
      </c>
      <c r="O193">
        <v>350000</v>
      </c>
      <c r="P193">
        <v>90</v>
      </c>
      <c r="Q193">
        <v>12</v>
      </c>
      <c r="R193">
        <v>100</v>
      </c>
    </row>
    <row r="194" spans="1:18" x14ac:dyDescent="0.25">
      <c r="A194" t="s">
        <v>371</v>
      </c>
      <c r="B194" t="s">
        <v>228</v>
      </c>
      <c r="C194">
        <v>51</v>
      </c>
      <c r="D194" t="s">
        <v>54</v>
      </c>
      <c r="E194" t="s">
        <v>35</v>
      </c>
      <c r="F194">
        <v>2727.42</v>
      </c>
      <c r="G194">
        <v>4</v>
      </c>
      <c r="H194" t="s">
        <v>36</v>
      </c>
      <c r="I194">
        <v>9</v>
      </c>
      <c r="J194">
        <v>3</v>
      </c>
      <c r="K194" t="str">
        <f t="shared" si="2"/>
        <v>Regular cust</v>
      </c>
      <c r="L194" t="s">
        <v>549</v>
      </c>
      <c r="M194" t="s">
        <v>11</v>
      </c>
      <c r="N194">
        <v>0.18</v>
      </c>
      <c r="O194">
        <v>450000</v>
      </c>
      <c r="P194">
        <v>80</v>
      </c>
      <c r="Q194">
        <v>15</v>
      </c>
      <c r="R194">
        <v>50</v>
      </c>
    </row>
    <row r="195" spans="1:18" x14ac:dyDescent="0.25">
      <c r="A195" t="s">
        <v>372</v>
      </c>
      <c r="B195" t="s">
        <v>357</v>
      </c>
      <c r="C195">
        <v>20</v>
      </c>
      <c r="D195" t="s">
        <v>45</v>
      </c>
      <c r="E195" t="s">
        <v>30</v>
      </c>
      <c r="F195">
        <v>4120.1499999999996</v>
      </c>
      <c r="G195">
        <v>1</v>
      </c>
      <c r="H195" t="s">
        <v>22</v>
      </c>
      <c r="I195">
        <v>3</v>
      </c>
      <c r="J195">
        <v>4</v>
      </c>
      <c r="K195" t="str">
        <f t="shared" ref="K195:K258" si="3">IF(AND(J195&gt;=4,G195&gt;=3),"Priority cust","Regular cust")</f>
        <v>Regular cust</v>
      </c>
      <c r="L195" t="s">
        <v>547</v>
      </c>
      <c r="M195" t="s">
        <v>544</v>
      </c>
      <c r="N195">
        <v>0.12</v>
      </c>
      <c r="O195">
        <v>350000</v>
      </c>
      <c r="P195">
        <v>31</v>
      </c>
      <c r="Q195">
        <v>12</v>
      </c>
      <c r="R195">
        <v>100</v>
      </c>
    </row>
    <row r="196" spans="1:18" x14ac:dyDescent="0.25">
      <c r="A196" t="s">
        <v>373</v>
      </c>
      <c r="B196" t="s">
        <v>374</v>
      </c>
      <c r="C196">
        <v>60</v>
      </c>
      <c r="D196" t="s">
        <v>45</v>
      </c>
      <c r="E196" t="s">
        <v>35</v>
      </c>
      <c r="F196">
        <v>3473.2</v>
      </c>
      <c r="G196">
        <v>2</v>
      </c>
      <c r="H196" t="s">
        <v>31</v>
      </c>
      <c r="I196">
        <v>3</v>
      </c>
      <c r="J196">
        <v>2</v>
      </c>
      <c r="K196" t="str">
        <f t="shared" si="3"/>
        <v>Regular cust</v>
      </c>
      <c r="L196" t="s">
        <v>549</v>
      </c>
      <c r="M196" t="s">
        <v>548</v>
      </c>
      <c r="N196">
        <v>0.18</v>
      </c>
      <c r="O196">
        <v>450000</v>
      </c>
      <c r="P196">
        <v>50</v>
      </c>
      <c r="Q196">
        <v>15</v>
      </c>
      <c r="R196">
        <v>50</v>
      </c>
    </row>
    <row r="197" spans="1:18" x14ac:dyDescent="0.25">
      <c r="A197" t="s">
        <v>375</v>
      </c>
      <c r="B197" t="s">
        <v>376</v>
      </c>
      <c r="C197">
        <v>20</v>
      </c>
      <c r="D197" t="s">
        <v>29</v>
      </c>
      <c r="E197" t="s">
        <v>51</v>
      </c>
      <c r="F197">
        <v>3405.19</v>
      </c>
      <c r="G197">
        <v>4</v>
      </c>
      <c r="H197" t="s">
        <v>36</v>
      </c>
      <c r="I197">
        <v>10</v>
      </c>
      <c r="J197">
        <v>5</v>
      </c>
      <c r="K197" t="str">
        <f t="shared" si="3"/>
        <v>Priority cust</v>
      </c>
      <c r="L197" t="s">
        <v>552</v>
      </c>
      <c r="M197" t="s">
        <v>11</v>
      </c>
      <c r="N197">
        <v>0.14000000000000001</v>
      </c>
      <c r="O197">
        <v>300000</v>
      </c>
      <c r="P197">
        <v>80</v>
      </c>
      <c r="Q197">
        <v>12</v>
      </c>
      <c r="R197">
        <v>70</v>
      </c>
    </row>
    <row r="198" spans="1:18" x14ac:dyDescent="0.25">
      <c r="A198" t="s">
        <v>377</v>
      </c>
      <c r="B198" t="s">
        <v>88</v>
      </c>
      <c r="C198">
        <v>20</v>
      </c>
      <c r="D198" t="s">
        <v>29</v>
      </c>
      <c r="E198" t="s">
        <v>51</v>
      </c>
      <c r="F198">
        <v>4597.17</v>
      </c>
      <c r="G198">
        <v>1</v>
      </c>
      <c r="H198" t="s">
        <v>36</v>
      </c>
      <c r="I198">
        <v>2</v>
      </c>
      <c r="J198">
        <v>1</v>
      </c>
      <c r="K198" t="str">
        <f t="shared" si="3"/>
        <v>Regular cust</v>
      </c>
      <c r="L198" t="s">
        <v>552</v>
      </c>
      <c r="M198" t="s">
        <v>11</v>
      </c>
      <c r="N198">
        <v>0.14000000000000001</v>
      </c>
      <c r="O198">
        <v>300000</v>
      </c>
      <c r="P198">
        <v>80</v>
      </c>
      <c r="Q198">
        <v>12</v>
      </c>
      <c r="R198">
        <v>70</v>
      </c>
    </row>
    <row r="199" spans="1:18" x14ac:dyDescent="0.25">
      <c r="A199" t="s">
        <v>378</v>
      </c>
      <c r="B199" t="s">
        <v>379</v>
      </c>
      <c r="C199">
        <v>47</v>
      </c>
      <c r="D199" t="s">
        <v>45</v>
      </c>
      <c r="E199" t="s">
        <v>35</v>
      </c>
      <c r="F199">
        <v>1173.99</v>
      </c>
      <c r="G199">
        <v>2</v>
      </c>
      <c r="H199" t="s">
        <v>36</v>
      </c>
      <c r="I199">
        <v>3</v>
      </c>
      <c r="J199">
        <v>2</v>
      </c>
      <c r="K199" t="str">
        <f t="shared" si="3"/>
        <v>Regular cust</v>
      </c>
      <c r="L199" t="s">
        <v>549</v>
      </c>
      <c r="M199" t="s">
        <v>11</v>
      </c>
      <c r="N199">
        <v>0.18</v>
      </c>
      <c r="O199">
        <v>450000</v>
      </c>
      <c r="P199">
        <v>80</v>
      </c>
      <c r="Q199">
        <v>15</v>
      </c>
      <c r="R199">
        <v>50</v>
      </c>
    </row>
    <row r="200" spans="1:18" x14ac:dyDescent="0.25">
      <c r="A200" t="s">
        <v>380</v>
      </c>
      <c r="B200" t="s">
        <v>381</v>
      </c>
      <c r="C200">
        <v>55</v>
      </c>
      <c r="D200" t="s">
        <v>54</v>
      </c>
      <c r="E200" t="s">
        <v>48</v>
      </c>
      <c r="F200">
        <v>2657.07</v>
      </c>
      <c r="G200">
        <v>4</v>
      </c>
      <c r="H200" t="s">
        <v>36</v>
      </c>
      <c r="I200">
        <v>10</v>
      </c>
      <c r="J200">
        <v>2</v>
      </c>
      <c r="K200" t="str">
        <f t="shared" si="3"/>
        <v>Regular cust</v>
      </c>
      <c r="L200" t="s">
        <v>551</v>
      </c>
      <c r="M200" t="s">
        <v>11</v>
      </c>
      <c r="N200">
        <v>0.05</v>
      </c>
      <c r="O200">
        <v>400000</v>
      </c>
      <c r="P200">
        <v>80</v>
      </c>
      <c r="Q200">
        <v>7</v>
      </c>
      <c r="R200">
        <v>40</v>
      </c>
    </row>
    <row r="201" spans="1:18" x14ac:dyDescent="0.25">
      <c r="A201" t="s">
        <v>382</v>
      </c>
      <c r="B201" t="s">
        <v>383</v>
      </c>
      <c r="C201">
        <v>19</v>
      </c>
      <c r="D201" t="s">
        <v>34</v>
      </c>
      <c r="E201" t="s">
        <v>26</v>
      </c>
      <c r="F201">
        <v>612.82000000000005</v>
      </c>
      <c r="G201">
        <v>2</v>
      </c>
      <c r="H201" t="s">
        <v>39</v>
      </c>
      <c r="I201">
        <v>4</v>
      </c>
      <c r="J201">
        <v>1</v>
      </c>
      <c r="K201" t="str">
        <f t="shared" si="3"/>
        <v>Regular cust</v>
      </c>
      <c r="L201" t="s">
        <v>545</v>
      </c>
      <c r="M201" t="s">
        <v>39</v>
      </c>
      <c r="N201">
        <v>0.12</v>
      </c>
      <c r="O201">
        <v>240000</v>
      </c>
      <c r="P201">
        <v>50</v>
      </c>
      <c r="Q201">
        <v>14</v>
      </c>
      <c r="R201">
        <v>30</v>
      </c>
    </row>
    <row r="202" spans="1:18" x14ac:dyDescent="0.25">
      <c r="A202" t="s">
        <v>384</v>
      </c>
      <c r="B202" t="s">
        <v>383</v>
      </c>
      <c r="C202">
        <v>52</v>
      </c>
      <c r="D202" t="s">
        <v>45</v>
      </c>
      <c r="E202" t="s">
        <v>30</v>
      </c>
      <c r="F202">
        <v>1465.87</v>
      </c>
      <c r="G202">
        <v>4</v>
      </c>
      <c r="H202" t="s">
        <v>42</v>
      </c>
      <c r="I202">
        <v>7</v>
      </c>
      <c r="J202">
        <v>3</v>
      </c>
      <c r="K202" t="str">
        <f t="shared" si="3"/>
        <v>Regular cust</v>
      </c>
      <c r="L202" t="s">
        <v>547</v>
      </c>
      <c r="M202" t="s">
        <v>550</v>
      </c>
      <c r="N202">
        <v>0.12</v>
      </c>
      <c r="O202">
        <v>350000</v>
      </c>
      <c r="P202">
        <v>90</v>
      </c>
      <c r="Q202">
        <v>12</v>
      </c>
      <c r="R202">
        <v>100</v>
      </c>
    </row>
    <row r="203" spans="1:18" x14ac:dyDescent="0.25">
      <c r="A203" t="s">
        <v>385</v>
      </c>
      <c r="B203" t="s">
        <v>386</v>
      </c>
      <c r="C203">
        <v>59</v>
      </c>
      <c r="D203" t="s">
        <v>45</v>
      </c>
      <c r="E203" t="s">
        <v>26</v>
      </c>
      <c r="F203">
        <v>2777.35</v>
      </c>
      <c r="G203">
        <v>1</v>
      </c>
      <c r="H203" t="s">
        <v>31</v>
      </c>
      <c r="I203">
        <v>6</v>
      </c>
      <c r="J203">
        <v>4</v>
      </c>
      <c r="K203" t="str">
        <f t="shared" si="3"/>
        <v>Regular cust</v>
      </c>
      <c r="L203" t="s">
        <v>545</v>
      </c>
      <c r="M203" t="s">
        <v>548</v>
      </c>
      <c r="N203">
        <v>0.12</v>
      </c>
      <c r="O203">
        <v>240000</v>
      </c>
      <c r="P203">
        <v>50</v>
      </c>
      <c r="Q203">
        <v>14</v>
      </c>
      <c r="R203">
        <v>30</v>
      </c>
    </row>
    <row r="204" spans="1:18" x14ac:dyDescent="0.25">
      <c r="A204" t="s">
        <v>387</v>
      </c>
      <c r="B204" t="s">
        <v>388</v>
      </c>
      <c r="C204">
        <v>27</v>
      </c>
      <c r="D204" t="s">
        <v>54</v>
      </c>
      <c r="E204" t="s">
        <v>51</v>
      </c>
      <c r="F204">
        <v>2052.02</v>
      </c>
      <c r="G204">
        <v>2</v>
      </c>
      <c r="H204" t="s">
        <v>42</v>
      </c>
      <c r="I204">
        <v>1</v>
      </c>
      <c r="J204">
        <v>3</v>
      </c>
      <c r="K204" t="str">
        <f t="shared" si="3"/>
        <v>Regular cust</v>
      </c>
      <c r="L204" t="s">
        <v>552</v>
      </c>
      <c r="M204" t="s">
        <v>550</v>
      </c>
      <c r="N204">
        <v>0.14000000000000001</v>
      </c>
      <c r="O204">
        <v>300000</v>
      </c>
      <c r="P204">
        <v>90</v>
      </c>
      <c r="Q204">
        <v>12</v>
      </c>
      <c r="R204">
        <v>70</v>
      </c>
    </row>
    <row r="205" spans="1:18" x14ac:dyDescent="0.25">
      <c r="A205" t="s">
        <v>389</v>
      </c>
      <c r="B205" t="s">
        <v>390</v>
      </c>
      <c r="C205">
        <v>32</v>
      </c>
      <c r="D205" t="s">
        <v>45</v>
      </c>
      <c r="E205" t="s">
        <v>26</v>
      </c>
      <c r="F205">
        <v>2557.85</v>
      </c>
      <c r="G205">
        <v>5</v>
      </c>
      <c r="H205" t="s">
        <v>31</v>
      </c>
      <c r="I205">
        <v>6</v>
      </c>
      <c r="J205">
        <v>4</v>
      </c>
      <c r="K205" t="str">
        <f t="shared" si="3"/>
        <v>Priority cust</v>
      </c>
      <c r="L205" t="s">
        <v>545</v>
      </c>
      <c r="M205" t="s">
        <v>548</v>
      </c>
      <c r="N205">
        <v>0.12</v>
      </c>
      <c r="O205">
        <v>240000</v>
      </c>
      <c r="P205">
        <v>50</v>
      </c>
      <c r="Q205">
        <v>14</v>
      </c>
      <c r="R205">
        <v>30</v>
      </c>
    </row>
    <row r="206" spans="1:18" x14ac:dyDescent="0.25">
      <c r="A206" t="s">
        <v>391</v>
      </c>
      <c r="B206" t="s">
        <v>388</v>
      </c>
      <c r="C206">
        <v>25</v>
      </c>
      <c r="D206" t="s">
        <v>29</v>
      </c>
      <c r="E206" t="s">
        <v>30</v>
      </c>
      <c r="F206">
        <v>2261.29</v>
      </c>
      <c r="G206">
        <v>2</v>
      </c>
      <c r="H206" t="s">
        <v>39</v>
      </c>
      <c r="I206">
        <v>10</v>
      </c>
      <c r="J206">
        <v>1</v>
      </c>
      <c r="K206" t="str">
        <f t="shared" si="3"/>
        <v>Regular cust</v>
      </c>
      <c r="L206" t="s">
        <v>547</v>
      </c>
      <c r="M206" t="s">
        <v>39</v>
      </c>
      <c r="N206">
        <v>0.12</v>
      </c>
      <c r="O206">
        <v>350000</v>
      </c>
      <c r="P206">
        <v>50</v>
      </c>
      <c r="Q206">
        <v>12</v>
      </c>
      <c r="R206">
        <v>100</v>
      </c>
    </row>
    <row r="207" spans="1:18" x14ac:dyDescent="0.25">
      <c r="A207" t="s">
        <v>392</v>
      </c>
      <c r="B207" t="s">
        <v>393</v>
      </c>
      <c r="C207">
        <v>23</v>
      </c>
      <c r="D207" t="s">
        <v>45</v>
      </c>
      <c r="E207" t="s">
        <v>35</v>
      </c>
      <c r="F207">
        <v>4030.04</v>
      </c>
      <c r="G207">
        <v>2</v>
      </c>
      <c r="H207" t="s">
        <v>31</v>
      </c>
      <c r="I207">
        <v>6</v>
      </c>
      <c r="J207">
        <v>4</v>
      </c>
      <c r="K207" t="str">
        <f t="shared" si="3"/>
        <v>Regular cust</v>
      </c>
      <c r="L207" t="s">
        <v>549</v>
      </c>
      <c r="M207" t="s">
        <v>548</v>
      </c>
      <c r="N207">
        <v>0.18</v>
      </c>
      <c r="O207">
        <v>450000</v>
      </c>
      <c r="P207">
        <v>50</v>
      </c>
      <c r="Q207">
        <v>15</v>
      </c>
      <c r="R207">
        <v>50</v>
      </c>
    </row>
    <row r="208" spans="1:18" x14ac:dyDescent="0.25">
      <c r="A208" t="s">
        <v>394</v>
      </c>
      <c r="B208" t="s">
        <v>395</v>
      </c>
      <c r="C208">
        <v>37</v>
      </c>
      <c r="D208" t="s">
        <v>45</v>
      </c>
      <c r="E208" t="s">
        <v>48</v>
      </c>
      <c r="F208">
        <v>3769.18</v>
      </c>
      <c r="G208">
        <v>2</v>
      </c>
      <c r="H208" t="s">
        <v>42</v>
      </c>
      <c r="I208">
        <v>7</v>
      </c>
      <c r="J208">
        <v>3</v>
      </c>
      <c r="K208" t="str">
        <f t="shared" si="3"/>
        <v>Regular cust</v>
      </c>
      <c r="L208" t="s">
        <v>551</v>
      </c>
      <c r="M208" t="s">
        <v>550</v>
      </c>
      <c r="N208">
        <v>0.05</v>
      </c>
      <c r="O208">
        <v>400000</v>
      </c>
      <c r="P208">
        <v>90</v>
      </c>
      <c r="Q208">
        <v>7</v>
      </c>
      <c r="R208">
        <v>40</v>
      </c>
    </row>
    <row r="209" spans="1:18" x14ac:dyDescent="0.25">
      <c r="A209" t="s">
        <v>396</v>
      </c>
      <c r="B209" t="s">
        <v>390</v>
      </c>
      <c r="C209">
        <v>29</v>
      </c>
      <c r="D209" t="s">
        <v>45</v>
      </c>
      <c r="E209" t="s">
        <v>30</v>
      </c>
      <c r="F209">
        <v>780.84</v>
      </c>
      <c r="G209">
        <v>4</v>
      </c>
      <c r="H209" t="s">
        <v>22</v>
      </c>
      <c r="I209">
        <v>4</v>
      </c>
      <c r="J209">
        <v>2</v>
      </c>
      <c r="K209" t="str">
        <f t="shared" si="3"/>
        <v>Regular cust</v>
      </c>
      <c r="L209" t="s">
        <v>547</v>
      </c>
      <c r="M209" t="s">
        <v>544</v>
      </c>
      <c r="N209">
        <v>0.12</v>
      </c>
      <c r="O209">
        <v>350000</v>
      </c>
      <c r="P209">
        <v>31</v>
      </c>
      <c r="Q209">
        <v>12</v>
      </c>
      <c r="R209">
        <v>100</v>
      </c>
    </row>
    <row r="210" spans="1:18" x14ac:dyDescent="0.25">
      <c r="A210" t="s">
        <v>397</v>
      </c>
      <c r="B210" t="s">
        <v>214</v>
      </c>
      <c r="C210">
        <v>56</v>
      </c>
      <c r="D210" t="s">
        <v>20</v>
      </c>
      <c r="E210" t="s">
        <v>51</v>
      </c>
      <c r="F210">
        <v>2648.97</v>
      </c>
      <c r="G210">
        <v>1</v>
      </c>
      <c r="H210" t="s">
        <v>31</v>
      </c>
      <c r="I210">
        <v>3</v>
      </c>
      <c r="J210">
        <v>1</v>
      </c>
      <c r="K210" t="str">
        <f t="shared" si="3"/>
        <v>Regular cust</v>
      </c>
      <c r="L210" t="s">
        <v>552</v>
      </c>
      <c r="M210" t="s">
        <v>548</v>
      </c>
      <c r="N210">
        <v>0.14000000000000001</v>
      </c>
      <c r="O210">
        <v>300000</v>
      </c>
      <c r="P210">
        <v>50</v>
      </c>
      <c r="Q210">
        <v>12</v>
      </c>
      <c r="R210">
        <v>70</v>
      </c>
    </row>
    <row r="211" spans="1:18" x14ac:dyDescent="0.25">
      <c r="A211" t="s">
        <v>398</v>
      </c>
      <c r="B211" t="s">
        <v>399</v>
      </c>
      <c r="C211">
        <v>18</v>
      </c>
      <c r="D211" t="s">
        <v>34</v>
      </c>
      <c r="E211" t="s">
        <v>26</v>
      </c>
      <c r="F211">
        <v>1049.01</v>
      </c>
      <c r="G211">
        <v>3</v>
      </c>
      <c r="H211" t="s">
        <v>22</v>
      </c>
      <c r="I211">
        <v>1</v>
      </c>
      <c r="J211">
        <v>1</v>
      </c>
      <c r="K211" t="str">
        <f t="shared" si="3"/>
        <v>Regular cust</v>
      </c>
      <c r="L211" t="s">
        <v>545</v>
      </c>
      <c r="M211" t="s">
        <v>544</v>
      </c>
      <c r="N211">
        <v>0.12</v>
      </c>
      <c r="O211">
        <v>240000</v>
      </c>
      <c r="P211">
        <v>31</v>
      </c>
      <c r="Q211">
        <v>14</v>
      </c>
      <c r="R211">
        <v>30</v>
      </c>
    </row>
    <row r="212" spans="1:18" x14ac:dyDescent="0.25">
      <c r="A212" t="s">
        <v>400</v>
      </c>
      <c r="B212" t="s">
        <v>115</v>
      </c>
      <c r="C212">
        <v>59</v>
      </c>
      <c r="D212" t="s">
        <v>54</v>
      </c>
      <c r="E212" t="s">
        <v>35</v>
      </c>
      <c r="F212">
        <v>1462.12</v>
      </c>
      <c r="G212">
        <v>2</v>
      </c>
      <c r="H212" t="s">
        <v>31</v>
      </c>
      <c r="I212">
        <v>9</v>
      </c>
      <c r="J212">
        <v>2</v>
      </c>
      <c r="K212" t="str">
        <f t="shared" si="3"/>
        <v>Regular cust</v>
      </c>
      <c r="L212" t="s">
        <v>549</v>
      </c>
      <c r="M212" t="s">
        <v>548</v>
      </c>
      <c r="N212">
        <v>0.18</v>
      </c>
      <c r="O212">
        <v>450000</v>
      </c>
      <c r="P212">
        <v>50</v>
      </c>
      <c r="Q212">
        <v>15</v>
      </c>
      <c r="R212">
        <v>50</v>
      </c>
    </row>
    <row r="213" spans="1:18" x14ac:dyDescent="0.25">
      <c r="A213" t="s">
        <v>401</v>
      </c>
      <c r="B213" t="s">
        <v>395</v>
      </c>
      <c r="C213">
        <v>34</v>
      </c>
      <c r="D213" t="s">
        <v>34</v>
      </c>
      <c r="E213" t="s">
        <v>30</v>
      </c>
      <c r="F213">
        <v>1275.3800000000001</v>
      </c>
      <c r="G213">
        <v>1</v>
      </c>
      <c r="H213" t="s">
        <v>22</v>
      </c>
      <c r="I213">
        <v>9</v>
      </c>
      <c r="J213">
        <v>2</v>
      </c>
      <c r="K213" t="str">
        <f t="shared" si="3"/>
        <v>Regular cust</v>
      </c>
      <c r="L213" t="s">
        <v>547</v>
      </c>
      <c r="M213" t="s">
        <v>544</v>
      </c>
      <c r="N213">
        <v>0.12</v>
      </c>
      <c r="O213">
        <v>350000</v>
      </c>
      <c r="P213">
        <v>31</v>
      </c>
      <c r="Q213">
        <v>12</v>
      </c>
      <c r="R213">
        <v>100</v>
      </c>
    </row>
    <row r="214" spans="1:18" x14ac:dyDescent="0.25">
      <c r="A214" t="s">
        <v>402</v>
      </c>
      <c r="B214" t="s">
        <v>403</v>
      </c>
      <c r="C214">
        <v>57</v>
      </c>
      <c r="D214" t="s">
        <v>34</v>
      </c>
      <c r="E214" t="s">
        <v>30</v>
      </c>
      <c r="F214">
        <v>255.76</v>
      </c>
      <c r="G214">
        <v>3</v>
      </c>
      <c r="H214" t="s">
        <v>22</v>
      </c>
      <c r="I214">
        <v>3</v>
      </c>
      <c r="J214">
        <v>4</v>
      </c>
      <c r="K214" t="str">
        <f t="shared" si="3"/>
        <v>Priority cust</v>
      </c>
      <c r="L214" t="s">
        <v>547</v>
      </c>
      <c r="M214" t="s">
        <v>544</v>
      </c>
      <c r="N214">
        <v>0.12</v>
      </c>
      <c r="O214">
        <v>350000</v>
      </c>
      <c r="P214">
        <v>31</v>
      </c>
      <c r="Q214">
        <v>12</v>
      </c>
      <c r="R214">
        <v>100</v>
      </c>
    </row>
    <row r="215" spans="1:18" x14ac:dyDescent="0.25">
      <c r="A215" t="s">
        <v>404</v>
      </c>
      <c r="B215" t="s">
        <v>405</v>
      </c>
      <c r="C215">
        <v>18</v>
      </c>
      <c r="D215" t="s">
        <v>34</v>
      </c>
      <c r="E215" t="s">
        <v>51</v>
      </c>
      <c r="F215">
        <v>3330.77</v>
      </c>
      <c r="G215">
        <v>1</v>
      </c>
      <c r="H215" t="s">
        <v>22</v>
      </c>
      <c r="I215">
        <v>2</v>
      </c>
      <c r="J215">
        <v>5</v>
      </c>
      <c r="K215" t="str">
        <f t="shared" si="3"/>
        <v>Regular cust</v>
      </c>
      <c r="L215" t="s">
        <v>552</v>
      </c>
      <c r="M215" t="s">
        <v>544</v>
      </c>
      <c r="N215">
        <v>0.14000000000000001</v>
      </c>
      <c r="O215">
        <v>300000</v>
      </c>
      <c r="P215">
        <v>31</v>
      </c>
      <c r="Q215">
        <v>12</v>
      </c>
      <c r="R215">
        <v>70</v>
      </c>
    </row>
    <row r="216" spans="1:18" x14ac:dyDescent="0.25">
      <c r="A216" t="s">
        <v>406</v>
      </c>
      <c r="B216" t="s">
        <v>200</v>
      </c>
      <c r="C216">
        <v>27</v>
      </c>
      <c r="D216" t="s">
        <v>20</v>
      </c>
      <c r="E216" t="s">
        <v>48</v>
      </c>
      <c r="F216">
        <v>4382.78</v>
      </c>
      <c r="G216">
        <v>4</v>
      </c>
      <c r="H216" t="s">
        <v>31</v>
      </c>
      <c r="I216">
        <v>1</v>
      </c>
      <c r="J216">
        <v>2</v>
      </c>
      <c r="K216" t="str">
        <f t="shared" si="3"/>
        <v>Regular cust</v>
      </c>
      <c r="L216" t="s">
        <v>551</v>
      </c>
      <c r="M216" t="s">
        <v>548</v>
      </c>
      <c r="N216">
        <v>0.05</v>
      </c>
      <c r="O216">
        <v>400000</v>
      </c>
      <c r="P216">
        <v>50</v>
      </c>
      <c r="Q216">
        <v>7</v>
      </c>
      <c r="R216">
        <v>40</v>
      </c>
    </row>
    <row r="217" spans="1:18" x14ac:dyDescent="0.25">
      <c r="A217" t="s">
        <v>407</v>
      </c>
      <c r="B217" t="s">
        <v>350</v>
      </c>
      <c r="C217">
        <v>50</v>
      </c>
      <c r="D217" t="s">
        <v>45</v>
      </c>
      <c r="E217" t="s">
        <v>21</v>
      </c>
      <c r="F217">
        <v>4287.13</v>
      </c>
      <c r="G217">
        <v>4</v>
      </c>
      <c r="H217" t="s">
        <v>36</v>
      </c>
      <c r="I217">
        <v>3</v>
      </c>
      <c r="J217">
        <v>4</v>
      </c>
      <c r="K217" t="str">
        <f t="shared" si="3"/>
        <v>Priority cust</v>
      </c>
      <c r="L217" t="s">
        <v>543</v>
      </c>
      <c r="M217" t="s">
        <v>11</v>
      </c>
      <c r="N217">
        <v>0.1</v>
      </c>
      <c r="O217">
        <v>560000</v>
      </c>
      <c r="P217">
        <v>80</v>
      </c>
      <c r="Q217">
        <v>13</v>
      </c>
      <c r="R217">
        <v>60</v>
      </c>
    </row>
    <row r="218" spans="1:18" x14ac:dyDescent="0.25">
      <c r="A218" t="s">
        <v>408</v>
      </c>
      <c r="B218" t="s">
        <v>409</v>
      </c>
      <c r="C218">
        <v>59</v>
      </c>
      <c r="D218" t="s">
        <v>25</v>
      </c>
      <c r="E218" t="s">
        <v>35</v>
      </c>
      <c r="F218">
        <v>2745.54</v>
      </c>
      <c r="G218">
        <v>5</v>
      </c>
      <c r="H218" t="s">
        <v>42</v>
      </c>
      <c r="I218">
        <v>2</v>
      </c>
      <c r="J218">
        <v>3</v>
      </c>
      <c r="K218" t="str">
        <f t="shared" si="3"/>
        <v>Regular cust</v>
      </c>
      <c r="L218" t="s">
        <v>549</v>
      </c>
      <c r="M218" t="s">
        <v>550</v>
      </c>
      <c r="N218">
        <v>0.18</v>
      </c>
      <c r="O218">
        <v>450000</v>
      </c>
      <c r="P218">
        <v>90</v>
      </c>
      <c r="Q218">
        <v>15</v>
      </c>
      <c r="R218">
        <v>50</v>
      </c>
    </row>
    <row r="219" spans="1:18" x14ac:dyDescent="0.25">
      <c r="A219" t="s">
        <v>410</v>
      </c>
      <c r="B219" t="s">
        <v>84</v>
      </c>
      <c r="C219">
        <v>60</v>
      </c>
      <c r="D219" t="s">
        <v>20</v>
      </c>
      <c r="E219" t="s">
        <v>48</v>
      </c>
      <c r="F219">
        <v>4645.87</v>
      </c>
      <c r="G219">
        <v>3</v>
      </c>
      <c r="H219" t="s">
        <v>39</v>
      </c>
      <c r="I219">
        <v>10</v>
      </c>
      <c r="J219">
        <v>1</v>
      </c>
      <c r="K219" t="str">
        <f t="shared" si="3"/>
        <v>Regular cust</v>
      </c>
      <c r="L219" t="s">
        <v>551</v>
      </c>
      <c r="M219" t="s">
        <v>39</v>
      </c>
      <c r="N219">
        <v>0.05</v>
      </c>
      <c r="O219">
        <v>400000</v>
      </c>
      <c r="P219">
        <v>50</v>
      </c>
      <c r="Q219">
        <v>7</v>
      </c>
      <c r="R219">
        <v>40</v>
      </c>
    </row>
    <row r="220" spans="1:18" x14ac:dyDescent="0.25">
      <c r="A220" t="s">
        <v>411</v>
      </c>
      <c r="B220" t="s">
        <v>66</v>
      </c>
      <c r="C220">
        <v>34</v>
      </c>
      <c r="D220" t="s">
        <v>29</v>
      </c>
      <c r="E220" t="s">
        <v>21</v>
      </c>
      <c r="F220">
        <v>3087.5</v>
      </c>
      <c r="G220">
        <v>2</v>
      </c>
      <c r="H220" t="s">
        <v>39</v>
      </c>
      <c r="I220">
        <v>2</v>
      </c>
      <c r="J220">
        <v>4</v>
      </c>
      <c r="K220" t="str">
        <f t="shared" si="3"/>
        <v>Regular cust</v>
      </c>
      <c r="L220" t="s">
        <v>543</v>
      </c>
      <c r="M220" t="s">
        <v>39</v>
      </c>
      <c r="N220">
        <v>0.1</v>
      </c>
      <c r="O220">
        <v>560000</v>
      </c>
      <c r="P220">
        <v>50</v>
      </c>
      <c r="Q220">
        <v>13</v>
      </c>
      <c r="R220">
        <v>60</v>
      </c>
    </row>
    <row r="221" spans="1:18" x14ac:dyDescent="0.25">
      <c r="A221" t="s">
        <v>412</v>
      </c>
      <c r="B221" t="s">
        <v>413</v>
      </c>
      <c r="C221">
        <v>27</v>
      </c>
      <c r="D221" t="s">
        <v>29</v>
      </c>
      <c r="E221" t="s">
        <v>48</v>
      </c>
      <c r="F221">
        <v>4199.3599999999997</v>
      </c>
      <c r="G221">
        <v>5</v>
      </c>
      <c r="H221" t="s">
        <v>22</v>
      </c>
      <c r="I221">
        <v>4</v>
      </c>
      <c r="J221">
        <v>5</v>
      </c>
      <c r="K221" t="str">
        <f t="shared" si="3"/>
        <v>Priority cust</v>
      </c>
      <c r="L221" t="s">
        <v>551</v>
      </c>
      <c r="M221" t="s">
        <v>544</v>
      </c>
      <c r="N221">
        <v>0.05</v>
      </c>
      <c r="O221">
        <v>400000</v>
      </c>
      <c r="P221">
        <v>31</v>
      </c>
      <c r="Q221">
        <v>7</v>
      </c>
      <c r="R221">
        <v>40</v>
      </c>
    </row>
    <row r="222" spans="1:18" x14ac:dyDescent="0.25">
      <c r="A222" t="s">
        <v>414</v>
      </c>
      <c r="B222" t="s">
        <v>164</v>
      </c>
      <c r="C222">
        <v>27</v>
      </c>
      <c r="D222" t="s">
        <v>20</v>
      </c>
      <c r="E222" t="s">
        <v>51</v>
      </c>
      <c r="F222">
        <v>1353.62</v>
      </c>
      <c r="G222">
        <v>5</v>
      </c>
      <c r="H222" t="s">
        <v>42</v>
      </c>
      <c r="I222">
        <v>3</v>
      </c>
      <c r="J222">
        <v>4</v>
      </c>
      <c r="K222" t="str">
        <f t="shared" si="3"/>
        <v>Priority cust</v>
      </c>
      <c r="L222" t="s">
        <v>552</v>
      </c>
      <c r="M222" t="s">
        <v>550</v>
      </c>
      <c r="N222">
        <v>0.14000000000000001</v>
      </c>
      <c r="O222">
        <v>300000</v>
      </c>
      <c r="P222">
        <v>90</v>
      </c>
      <c r="Q222">
        <v>12</v>
      </c>
      <c r="R222">
        <v>70</v>
      </c>
    </row>
    <row r="223" spans="1:18" x14ac:dyDescent="0.25">
      <c r="A223" t="s">
        <v>415</v>
      </c>
      <c r="B223" t="s">
        <v>416</v>
      </c>
      <c r="C223">
        <v>20</v>
      </c>
      <c r="D223" t="s">
        <v>29</v>
      </c>
      <c r="E223" t="s">
        <v>26</v>
      </c>
      <c r="F223">
        <v>4579.6400000000003</v>
      </c>
      <c r="G223">
        <v>3</v>
      </c>
      <c r="H223" t="s">
        <v>31</v>
      </c>
      <c r="I223">
        <v>1</v>
      </c>
      <c r="J223">
        <v>5</v>
      </c>
      <c r="K223" t="str">
        <f t="shared" si="3"/>
        <v>Priority cust</v>
      </c>
      <c r="L223" t="s">
        <v>545</v>
      </c>
      <c r="M223" t="s">
        <v>548</v>
      </c>
      <c r="N223">
        <v>0.12</v>
      </c>
      <c r="O223">
        <v>240000</v>
      </c>
      <c r="P223">
        <v>50</v>
      </c>
      <c r="Q223">
        <v>14</v>
      </c>
      <c r="R223">
        <v>30</v>
      </c>
    </row>
    <row r="224" spans="1:18" x14ac:dyDescent="0.25">
      <c r="A224" t="s">
        <v>417</v>
      </c>
      <c r="B224" t="s">
        <v>50</v>
      </c>
      <c r="C224">
        <v>59</v>
      </c>
      <c r="D224" t="s">
        <v>45</v>
      </c>
      <c r="E224" t="s">
        <v>26</v>
      </c>
      <c r="F224">
        <v>975.02</v>
      </c>
      <c r="G224">
        <v>2</v>
      </c>
      <c r="H224" t="s">
        <v>36</v>
      </c>
      <c r="I224">
        <v>4</v>
      </c>
      <c r="J224">
        <v>2</v>
      </c>
      <c r="K224" t="str">
        <f t="shared" si="3"/>
        <v>Regular cust</v>
      </c>
      <c r="L224" t="s">
        <v>545</v>
      </c>
      <c r="M224" t="s">
        <v>11</v>
      </c>
      <c r="N224">
        <v>0.12</v>
      </c>
      <c r="O224">
        <v>240000</v>
      </c>
      <c r="P224">
        <v>80</v>
      </c>
      <c r="Q224">
        <v>14</v>
      </c>
      <c r="R224">
        <v>30</v>
      </c>
    </row>
    <row r="225" spans="1:18" x14ac:dyDescent="0.25">
      <c r="A225" t="s">
        <v>418</v>
      </c>
      <c r="B225" t="s">
        <v>419</v>
      </c>
      <c r="C225">
        <v>57</v>
      </c>
      <c r="D225" t="s">
        <v>45</v>
      </c>
      <c r="E225" t="s">
        <v>30</v>
      </c>
      <c r="F225">
        <v>1632.4</v>
      </c>
      <c r="G225">
        <v>5</v>
      </c>
      <c r="H225" t="s">
        <v>42</v>
      </c>
      <c r="I225">
        <v>6</v>
      </c>
      <c r="J225">
        <v>2</v>
      </c>
      <c r="K225" t="str">
        <f t="shared" si="3"/>
        <v>Regular cust</v>
      </c>
      <c r="L225" t="s">
        <v>547</v>
      </c>
      <c r="M225" t="s">
        <v>550</v>
      </c>
      <c r="N225">
        <v>0.12</v>
      </c>
      <c r="O225">
        <v>350000</v>
      </c>
      <c r="P225">
        <v>90</v>
      </c>
      <c r="Q225">
        <v>12</v>
      </c>
      <c r="R225">
        <v>100</v>
      </c>
    </row>
    <row r="226" spans="1:18" x14ac:dyDescent="0.25">
      <c r="A226" t="s">
        <v>420</v>
      </c>
      <c r="B226" t="s">
        <v>409</v>
      </c>
      <c r="C226">
        <v>38</v>
      </c>
      <c r="D226" t="s">
        <v>29</v>
      </c>
      <c r="E226" t="s">
        <v>26</v>
      </c>
      <c r="F226">
        <v>4888.75</v>
      </c>
      <c r="G226">
        <v>2</v>
      </c>
      <c r="H226" t="s">
        <v>22</v>
      </c>
      <c r="I226">
        <v>10</v>
      </c>
      <c r="J226">
        <v>4</v>
      </c>
      <c r="K226" t="str">
        <f t="shared" si="3"/>
        <v>Regular cust</v>
      </c>
      <c r="L226" t="s">
        <v>545</v>
      </c>
      <c r="M226" t="s">
        <v>544</v>
      </c>
      <c r="N226">
        <v>0.12</v>
      </c>
      <c r="O226">
        <v>240000</v>
      </c>
      <c r="P226">
        <v>31</v>
      </c>
      <c r="Q226">
        <v>14</v>
      </c>
      <c r="R226">
        <v>30</v>
      </c>
    </row>
    <row r="227" spans="1:18" x14ac:dyDescent="0.25">
      <c r="A227" t="s">
        <v>421</v>
      </c>
      <c r="B227" t="s">
        <v>137</v>
      </c>
      <c r="C227">
        <v>26</v>
      </c>
      <c r="D227" t="s">
        <v>34</v>
      </c>
      <c r="E227" t="s">
        <v>26</v>
      </c>
      <c r="F227">
        <v>2052.3200000000002</v>
      </c>
      <c r="G227">
        <v>5</v>
      </c>
      <c r="H227" t="s">
        <v>22</v>
      </c>
      <c r="I227">
        <v>8</v>
      </c>
      <c r="J227">
        <v>1</v>
      </c>
      <c r="K227" t="str">
        <f t="shared" si="3"/>
        <v>Regular cust</v>
      </c>
      <c r="L227" t="s">
        <v>545</v>
      </c>
      <c r="M227" t="s">
        <v>544</v>
      </c>
      <c r="N227">
        <v>0.12</v>
      </c>
      <c r="O227">
        <v>240000</v>
      </c>
      <c r="P227">
        <v>31</v>
      </c>
      <c r="Q227">
        <v>14</v>
      </c>
      <c r="R227">
        <v>30</v>
      </c>
    </row>
    <row r="228" spans="1:18" x14ac:dyDescent="0.25">
      <c r="A228" t="s">
        <v>422</v>
      </c>
      <c r="B228" t="s">
        <v>90</v>
      </c>
      <c r="C228">
        <v>58</v>
      </c>
      <c r="D228" t="s">
        <v>45</v>
      </c>
      <c r="E228" t="s">
        <v>21</v>
      </c>
      <c r="F228">
        <v>854.01</v>
      </c>
      <c r="G228">
        <v>2</v>
      </c>
      <c r="H228" t="s">
        <v>39</v>
      </c>
      <c r="I228">
        <v>5</v>
      </c>
      <c r="J228">
        <v>5</v>
      </c>
      <c r="K228" t="str">
        <f t="shared" si="3"/>
        <v>Regular cust</v>
      </c>
      <c r="L228" t="s">
        <v>543</v>
      </c>
      <c r="M228" t="s">
        <v>39</v>
      </c>
      <c r="N228">
        <v>0.1</v>
      </c>
      <c r="O228">
        <v>560000</v>
      </c>
      <c r="P228">
        <v>50</v>
      </c>
      <c r="Q228">
        <v>13</v>
      </c>
      <c r="R228">
        <v>60</v>
      </c>
    </row>
    <row r="229" spans="1:18" x14ac:dyDescent="0.25">
      <c r="A229" t="s">
        <v>423</v>
      </c>
      <c r="B229" t="s">
        <v>424</v>
      </c>
      <c r="C229">
        <v>33</v>
      </c>
      <c r="D229" t="s">
        <v>34</v>
      </c>
      <c r="E229" t="s">
        <v>30</v>
      </c>
      <c r="F229">
        <v>4567.82</v>
      </c>
      <c r="G229">
        <v>2</v>
      </c>
      <c r="H229" t="s">
        <v>39</v>
      </c>
      <c r="I229">
        <v>7</v>
      </c>
      <c r="J229">
        <v>2</v>
      </c>
      <c r="K229" t="str">
        <f t="shared" si="3"/>
        <v>Regular cust</v>
      </c>
      <c r="L229" t="s">
        <v>547</v>
      </c>
      <c r="M229" t="s">
        <v>39</v>
      </c>
      <c r="N229">
        <v>0.12</v>
      </c>
      <c r="O229">
        <v>350000</v>
      </c>
      <c r="P229">
        <v>50</v>
      </c>
      <c r="Q229">
        <v>12</v>
      </c>
      <c r="R229">
        <v>100</v>
      </c>
    </row>
    <row r="230" spans="1:18" x14ac:dyDescent="0.25">
      <c r="A230" t="s">
        <v>425</v>
      </c>
      <c r="B230" t="s">
        <v>426</v>
      </c>
      <c r="C230">
        <v>18</v>
      </c>
      <c r="D230" t="s">
        <v>54</v>
      </c>
      <c r="E230" t="s">
        <v>21</v>
      </c>
      <c r="F230">
        <v>1445.87</v>
      </c>
      <c r="G230">
        <v>1</v>
      </c>
      <c r="H230" t="s">
        <v>36</v>
      </c>
      <c r="I230">
        <v>7</v>
      </c>
      <c r="J230">
        <v>5</v>
      </c>
      <c r="K230" t="str">
        <f t="shared" si="3"/>
        <v>Regular cust</v>
      </c>
      <c r="L230" t="s">
        <v>543</v>
      </c>
      <c r="M230" t="s">
        <v>11</v>
      </c>
      <c r="N230">
        <v>0.1</v>
      </c>
      <c r="O230">
        <v>560000</v>
      </c>
      <c r="P230">
        <v>80</v>
      </c>
      <c r="Q230">
        <v>13</v>
      </c>
      <c r="R230">
        <v>60</v>
      </c>
    </row>
    <row r="231" spans="1:18" x14ac:dyDescent="0.25">
      <c r="A231" t="s">
        <v>427</v>
      </c>
      <c r="B231" t="s">
        <v>428</v>
      </c>
      <c r="C231">
        <v>43</v>
      </c>
      <c r="D231" t="s">
        <v>54</v>
      </c>
      <c r="E231" t="s">
        <v>26</v>
      </c>
      <c r="F231">
        <v>1786.61</v>
      </c>
      <c r="G231">
        <v>2</v>
      </c>
      <c r="H231" t="s">
        <v>31</v>
      </c>
      <c r="I231">
        <v>5</v>
      </c>
      <c r="J231">
        <v>2</v>
      </c>
      <c r="K231" t="str">
        <f t="shared" si="3"/>
        <v>Regular cust</v>
      </c>
      <c r="L231" t="s">
        <v>545</v>
      </c>
      <c r="M231" t="s">
        <v>548</v>
      </c>
      <c r="N231">
        <v>0.12</v>
      </c>
      <c r="O231">
        <v>240000</v>
      </c>
      <c r="P231">
        <v>50</v>
      </c>
      <c r="Q231">
        <v>14</v>
      </c>
      <c r="R231">
        <v>30</v>
      </c>
    </row>
    <row r="232" spans="1:18" x14ac:dyDescent="0.25">
      <c r="A232" t="s">
        <v>429</v>
      </c>
      <c r="B232" t="s">
        <v>430</v>
      </c>
      <c r="C232">
        <v>43</v>
      </c>
      <c r="D232" t="s">
        <v>45</v>
      </c>
      <c r="E232" t="s">
        <v>30</v>
      </c>
      <c r="F232">
        <v>1365.57</v>
      </c>
      <c r="G232">
        <v>5</v>
      </c>
      <c r="H232" t="s">
        <v>36</v>
      </c>
      <c r="I232">
        <v>4</v>
      </c>
      <c r="J232">
        <v>3</v>
      </c>
      <c r="K232" t="str">
        <f t="shared" si="3"/>
        <v>Regular cust</v>
      </c>
      <c r="L232" t="s">
        <v>547</v>
      </c>
      <c r="M232" t="s">
        <v>11</v>
      </c>
      <c r="N232">
        <v>0.12</v>
      </c>
      <c r="O232">
        <v>350000</v>
      </c>
      <c r="P232">
        <v>80</v>
      </c>
      <c r="Q232">
        <v>12</v>
      </c>
      <c r="R232">
        <v>100</v>
      </c>
    </row>
    <row r="233" spans="1:18" x14ac:dyDescent="0.25">
      <c r="A233" t="s">
        <v>431</v>
      </c>
      <c r="B233" t="s">
        <v>124</v>
      </c>
      <c r="C233">
        <v>32</v>
      </c>
      <c r="D233" t="s">
        <v>29</v>
      </c>
      <c r="E233" t="s">
        <v>48</v>
      </c>
      <c r="F233">
        <v>4768.0200000000004</v>
      </c>
      <c r="G233">
        <v>3</v>
      </c>
      <c r="H233" t="s">
        <v>39</v>
      </c>
      <c r="I233">
        <v>5</v>
      </c>
      <c r="J233">
        <v>1</v>
      </c>
      <c r="K233" t="str">
        <f t="shared" si="3"/>
        <v>Regular cust</v>
      </c>
      <c r="L233" t="s">
        <v>551</v>
      </c>
      <c r="M233" t="s">
        <v>39</v>
      </c>
      <c r="N233">
        <v>0.05</v>
      </c>
      <c r="O233">
        <v>400000</v>
      </c>
      <c r="P233">
        <v>50</v>
      </c>
      <c r="Q233">
        <v>7</v>
      </c>
      <c r="R233">
        <v>40</v>
      </c>
    </row>
    <row r="234" spans="1:18" x14ac:dyDescent="0.25">
      <c r="A234" t="s">
        <v>432</v>
      </c>
      <c r="B234" t="s">
        <v>433</v>
      </c>
      <c r="C234">
        <v>27</v>
      </c>
      <c r="D234" t="s">
        <v>54</v>
      </c>
      <c r="E234" t="s">
        <v>26</v>
      </c>
      <c r="F234">
        <v>3861.06</v>
      </c>
      <c r="G234">
        <v>1</v>
      </c>
      <c r="H234" t="s">
        <v>22</v>
      </c>
      <c r="I234">
        <v>6</v>
      </c>
      <c r="J234">
        <v>2</v>
      </c>
      <c r="K234" t="str">
        <f t="shared" si="3"/>
        <v>Regular cust</v>
      </c>
      <c r="L234" t="s">
        <v>545</v>
      </c>
      <c r="M234" t="s">
        <v>544</v>
      </c>
      <c r="N234">
        <v>0.12</v>
      </c>
      <c r="O234">
        <v>240000</v>
      </c>
      <c r="P234">
        <v>31</v>
      </c>
      <c r="Q234">
        <v>14</v>
      </c>
      <c r="R234">
        <v>30</v>
      </c>
    </row>
    <row r="235" spans="1:18" x14ac:dyDescent="0.25">
      <c r="A235" t="s">
        <v>434</v>
      </c>
      <c r="B235" t="s">
        <v>313</v>
      </c>
      <c r="C235">
        <v>39</v>
      </c>
      <c r="D235" t="s">
        <v>34</v>
      </c>
      <c r="E235" t="s">
        <v>48</v>
      </c>
      <c r="F235">
        <v>2696.36</v>
      </c>
      <c r="G235">
        <v>3</v>
      </c>
      <c r="H235" t="s">
        <v>22</v>
      </c>
      <c r="I235">
        <v>1</v>
      </c>
      <c r="J235">
        <v>4</v>
      </c>
      <c r="K235" t="str">
        <f t="shared" si="3"/>
        <v>Priority cust</v>
      </c>
      <c r="L235" t="s">
        <v>551</v>
      </c>
      <c r="M235" t="s">
        <v>544</v>
      </c>
      <c r="N235">
        <v>0.05</v>
      </c>
      <c r="O235">
        <v>400000</v>
      </c>
      <c r="P235">
        <v>31</v>
      </c>
      <c r="Q235">
        <v>7</v>
      </c>
      <c r="R235">
        <v>40</v>
      </c>
    </row>
    <row r="236" spans="1:18" x14ac:dyDescent="0.25">
      <c r="A236" t="s">
        <v>435</v>
      </c>
      <c r="B236" t="s">
        <v>436</v>
      </c>
      <c r="C236">
        <v>46</v>
      </c>
      <c r="D236" t="s">
        <v>25</v>
      </c>
      <c r="E236" t="s">
        <v>26</v>
      </c>
      <c r="F236">
        <v>2051.0100000000002</v>
      </c>
      <c r="G236">
        <v>1</v>
      </c>
      <c r="H236" t="s">
        <v>22</v>
      </c>
      <c r="I236">
        <v>2</v>
      </c>
      <c r="J236">
        <v>4</v>
      </c>
      <c r="K236" t="str">
        <f t="shared" si="3"/>
        <v>Regular cust</v>
      </c>
      <c r="L236" t="s">
        <v>545</v>
      </c>
      <c r="M236" t="s">
        <v>544</v>
      </c>
      <c r="N236">
        <v>0.12</v>
      </c>
      <c r="O236">
        <v>240000</v>
      </c>
      <c r="P236">
        <v>31</v>
      </c>
      <c r="Q236">
        <v>14</v>
      </c>
      <c r="R236">
        <v>30</v>
      </c>
    </row>
    <row r="237" spans="1:18" x14ac:dyDescent="0.25">
      <c r="A237" t="s">
        <v>437</v>
      </c>
      <c r="B237" t="s">
        <v>438</v>
      </c>
      <c r="C237">
        <v>42</v>
      </c>
      <c r="D237" t="s">
        <v>45</v>
      </c>
      <c r="E237" t="s">
        <v>51</v>
      </c>
      <c r="F237">
        <v>4011.36</v>
      </c>
      <c r="G237">
        <v>5</v>
      </c>
      <c r="H237" t="s">
        <v>39</v>
      </c>
      <c r="I237">
        <v>4</v>
      </c>
      <c r="J237">
        <v>3</v>
      </c>
      <c r="K237" t="str">
        <f t="shared" si="3"/>
        <v>Regular cust</v>
      </c>
      <c r="L237" t="s">
        <v>552</v>
      </c>
      <c r="M237" t="s">
        <v>39</v>
      </c>
      <c r="N237">
        <v>0.14000000000000001</v>
      </c>
      <c r="O237">
        <v>300000</v>
      </c>
      <c r="P237">
        <v>50</v>
      </c>
      <c r="Q237">
        <v>12</v>
      </c>
      <c r="R237">
        <v>70</v>
      </c>
    </row>
    <row r="238" spans="1:18" x14ac:dyDescent="0.25">
      <c r="A238" t="s">
        <v>439</v>
      </c>
      <c r="B238" t="s">
        <v>440</v>
      </c>
      <c r="C238">
        <v>34</v>
      </c>
      <c r="D238" t="s">
        <v>34</v>
      </c>
      <c r="E238" t="s">
        <v>35</v>
      </c>
      <c r="F238">
        <v>253.66</v>
      </c>
      <c r="G238">
        <v>4</v>
      </c>
      <c r="H238" t="s">
        <v>31</v>
      </c>
      <c r="I238">
        <v>4</v>
      </c>
      <c r="J238">
        <v>1</v>
      </c>
      <c r="K238" t="str">
        <f t="shared" si="3"/>
        <v>Regular cust</v>
      </c>
      <c r="L238" t="s">
        <v>549</v>
      </c>
      <c r="M238" t="s">
        <v>548</v>
      </c>
      <c r="N238">
        <v>0.18</v>
      </c>
      <c r="O238">
        <v>450000</v>
      </c>
      <c r="P238">
        <v>50</v>
      </c>
      <c r="Q238">
        <v>15</v>
      </c>
      <c r="R238">
        <v>50</v>
      </c>
    </row>
    <row r="239" spans="1:18" x14ac:dyDescent="0.25">
      <c r="A239" t="s">
        <v>441</v>
      </c>
      <c r="B239" t="s">
        <v>156</v>
      </c>
      <c r="C239">
        <v>35</v>
      </c>
      <c r="D239" t="s">
        <v>29</v>
      </c>
      <c r="E239" t="s">
        <v>48</v>
      </c>
      <c r="F239">
        <v>844.24</v>
      </c>
      <c r="G239">
        <v>2</v>
      </c>
      <c r="H239" t="s">
        <v>36</v>
      </c>
      <c r="I239">
        <v>3</v>
      </c>
      <c r="J239">
        <v>5</v>
      </c>
      <c r="K239" t="str">
        <f t="shared" si="3"/>
        <v>Regular cust</v>
      </c>
      <c r="L239" t="s">
        <v>551</v>
      </c>
      <c r="M239" t="s">
        <v>11</v>
      </c>
      <c r="N239">
        <v>0.05</v>
      </c>
      <c r="O239">
        <v>400000</v>
      </c>
      <c r="P239">
        <v>80</v>
      </c>
      <c r="Q239">
        <v>7</v>
      </c>
      <c r="R239">
        <v>40</v>
      </c>
    </row>
    <row r="240" spans="1:18" x14ac:dyDescent="0.25">
      <c r="A240" t="s">
        <v>442</v>
      </c>
      <c r="B240" t="s">
        <v>166</v>
      </c>
      <c r="C240">
        <v>43</v>
      </c>
      <c r="D240" t="s">
        <v>25</v>
      </c>
      <c r="E240" t="s">
        <v>26</v>
      </c>
      <c r="F240">
        <v>787.3</v>
      </c>
      <c r="G240">
        <v>1</v>
      </c>
      <c r="H240" t="s">
        <v>39</v>
      </c>
      <c r="I240">
        <v>8</v>
      </c>
      <c r="J240">
        <v>2</v>
      </c>
      <c r="K240" t="str">
        <f t="shared" si="3"/>
        <v>Regular cust</v>
      </c>
      <c r="L240" t="s">
        <v>545</v>
      </c>
      <c r="M240" t="s">
        <v>39</v>
      </c>
      <c r="N240">
        <v>0.12</v>
      </c>
      <c r="O240">
        <v>240000</v>
      </c>
      <c r="P240">
        <v>50</v>
      </c>
      <c r="Q240">
        <v>14</v>
      </c>
      <c r="R240">
        <v>30</v>
      </c>
    </row>
    <row r="241" spans="1:18" x14ac:dyDescent="0.25">
      <c r="A241" t="s">
        <v>443</v>
      </c>
      <c r="B241" t="s">
        <v>444</v>
      </c>
      <c r="C241">
        <v>47</v>
      </c>
      <c r="D241" t="s">
        <v>34</v>
      </c>
      <c r="E241" t="s">
        <v>26</v>
      </c>
      <c r="F241">
        <v>1553.51</v>
      </c>
      <c r="G241">
        <v>2</v>
      </c>
      <c r="H241" t="s">
        <v>36</v>
      </c>
      <c r="I241">
        <v>8</v>
      </c>
      <c r="J241">
        <v>4</v>
      </c>
      <c r="K241" t="str">
        <f t="shared" si="3"/>
        <v>Regular cust</v>
      </c>
      <c r="L241" t="s">
        <v>545</v>
      </c>
      <c r="M241" t="s">
        <v>11</v>
      </c>
      <c r="N241">
        <v>0.12</v>
      </c>
      <c r="O241">
        <v>240000</v>
      </c>
      <c r="P241">
        <v>80</v>
      </c>
      <c r="Q241">
        <v>14</v>
      </c>
      <c r="R241">
        <v>30</v>
      </c>
    </row>
    <row r="242" spans="1:18" x14ac:dyDescent="0.25">
      <c r="A242" t="s">
        <v>445</v>
      </c>
      <c r="B242" t="s">
        <v>286</v>
      </c>
      <c r="C242">
        <v>29</v>
      </c>
      <c r="D242" t="s">
        <v>34</v>
      </c>
      <c r="E242" t="s">
        <v>48</v>
      </c>
      <c r="F242">
        <v>2692.39</v>
      </c>
      <c r="G242">
        <v>4</v>
      </c>
      <c r="H242" t="s">
        <v>31</v>
      </c>
      <c r="I242">
        <v>3</v>
      </c>
      <c r="J242">
        <v>3</v>
      </c>
      <c r="K242" t="str">
        <f t="shared" si="3"/>
        <v>Regular cust</v>
      </c>
      <c r="L242" t="s">
        <v>551</v>
      </c>
      <c r="M242" t="s">
        <v>548</v>
      </c>
      <c r="N242">
        <v>0.05</v>
      </c>
      <c r="O242">
        <v>400000</v>
      </c>
      <c r="P242">
        <v>50</v>
      </c>
      <c r="Q242">
        <v>7</v>
      </c>
      <c r="R242">
        <v>40</v>
      </c>
    </row>
    <row r="243" spans="1:18" x14ac:dyDescent="0.25">
      <c r="A243" t="s">
        <v>446</v>
      </c>
      <c r="B243" t="s">
        <v>447</v>
      </c>
      <c r="C243">
        <v>41</v>
      </c>
      <c r="D243" t="s">
        <v>29</v>
      </c>
      <c r="E243" t="s">
        <v>51</v>
      </c>
      <c r="F243">
        <v>2367.52</v>
      </c>
      <c r="G243">
        <v>5</v>
      </c>
      <c r="H243" t="s">
        <v>22</v>
      </c>
      <c r="I243">
        <v>1</v>
      </c>
      <c r="J243">
        <v>3</v>
      </c>
      <c r="K243" t="str">
        <f t="shared" si="3"/>
        <v>Regular cust</v>
      </c>
      <c r="L243" t="s">
        <v>552</v>
      </c>
      <c r="M243" t="s">
        <v>544</v>
      </c>
      <c r="N243">
        <v>0.14000000000000001</v>
      </c>
      <c r="O243">
        <v>300000</v>
      </c>
      <c r="P243">
        <v>31</v>
      </c>
      <c r="Q243">
        <v>12</v>
      </c>
      <c r="R243">
        <v>70</v>
      </c>
    </row>
    <row r="244" spans="1:18" x14ac:dyDescent="0.25">
      <c r="A244" t="s">
        <v>448</v>
      </c>
      <c r="B244" t="s">
        <v>449</v>
      </c>
      <c r="C244">
        <v>38</v>
      </c>
      <c r="D244" t="s">
        <v>25</v>
      </c>
      <c r="E244" t="s">
        <v>21</v>
      </c>
      <c r="F244">
        <v>530.11</v>
      </c>
      <c r="G244">
        <v>4</v>
      </c>
      <c r="H244" t="s">
        <v>42</v>
      </c>
      <c r="I244">
        <v>10</v>
      </c>
      <c r="J244">
        <v>5</v>
      </c>
      <c r="K244" t="str">
        <f t="shared" si="3"/>
        <v>Priority cust</v>
      </c>
      <c r="L244" t="s">
        <v>543</v>
      </c>
      <c r="M244" t="s">
        <v>550</v>
      </c>
      <c r="N244">
        <v>0.1</v>
      </c>
      <c r="O244">
        <v>560000</v>
      </c>
      <c r="P244">
        <v>90</v>
      </c>
      <c r="Q244">
        <v>13</v>
      </c>
      <c r="R244">
        <v>60</v>
      </c>
    </row>
    <row r="245" spans="1:18" x14ac:dyDescent="0.25">
      <c r="A245" t="s">
        <v>450</v>
      </c>
      <c r="B245" t="s">
        <v>94</v>
      </c>
      <c r="C245">
        <v>40</v>
      </c>
      <c r="D245" t="s">
        <v>29</v>
      </c>
      <c r="E245" t="s">
        <v>30</v>
      </c>
      <c r="F245">
        <v>2710.8</v>
      </c>
      <c r="G245">
        <v>1</v>
      </c>
      <c r="H245" t="s">
        <v>36</v>
      </c>
      <c r="I245">
        <v>7</v>
      </c>
      <c r="J245">
        <v>2</v>
      </c>
      <c r="K245" t="str">
        <f t="shared" si="3"/>
        <v>Regular cust</v>
      </c>
      <c r="L245" t="s">
        <v>547</v>
      </c>
      <c r="M245" t="s">
        <v>11</v>
      </c>
      <c r="N245">
        <v>0.12</v>
      </c>
      <c r="O245">
        <v>350000</v>
      </c>
      <c r="P245">
        <v>80</v>
      </c>
      <c r="Q245">
        <v>12</v>
      </c>
      <c r="R245">
        <v>100</v>
      </c>
    </row>
    <row r="246" spans="1:18" x14ac:dyDescent="0.25">
      <c r="A246" t="s">
        <v>451</v>
      </c>
      <c r="B246" t="s">
        <v>452</v>
      </c>
      <c r="C246">
        <v>60</v>
      </c>
      <c r="D246" t="s">
        <v>25</v>
      </c>
      <c r="E246" t="s">
        <v>26</v>
      </c>
      <c r="F246">
        <v>3305.85</v>
      </c>
      <c r="G246">
        <v>1</v>
      </c>
      <c r="H246" t="s">
        <v>22</v>
      </c>
      <c r="I246">
        <v>6</v>
      </c>
      <c r="J246">
        <v>4</v>
      </c>
      <c r="K246" t="str">
        <f t="shared" si="3"/>
        <v>Regular cust</v>
      </c>
      <c r="L246" t="s">
        <v>545</v>
      </c>
      <c r="M246" t="s">
        <v>544</v>
      </c>
      <c r="N246">
        <v>0.12</v>
      </c>
      <c r="O246">
        <v>240000</v>
      </c>
      <c r="P246">
        <v>31</v>
      </c>
      <c r="Q246">
        <v>14</v>
      </c>
      <c r="R246">
        <v>30</v>
      </c>
    </row>
    <row r="247" spans="1:18" x14ac:dyDescent="0.25">
      <c r="A247" t="s">
        <v>453</v>
      </c>
      <c r="B247" t="s">
        <v>454</v>
      </c>
      <c r="C247">
        <v>49</v>
      </c>
      <c r="D247" t="s">
        <v>34</v>
      </c>
      <c r="E247" t="s">
        <v>26</v>
      </c>
      <c r="F247">
        <v>3100.32</v>
      </c>
      <c r="G247">
        <v>3</v>
      </c>
      <c r="H247" t="s">
        <v>22</v>
      </c>
      <c r="I247">
        <v>2</v>
      </c>
      <c r="J247">
        <v>1</v>
      </c>
      <c r="K247" t="str">
        <f t="shared" si="3"/>
        <v>Regular cust</v>
      </c>
      <c r="L247" t="s">
        <v>545</v>
      </c>
      <c r="M247" t="s">
        <v>544</v>
      </c>
      <c r="N247">
        <v>0.12</v>
      </c>
      <c r="O247">
        <v>240000</v>
      </c>
      <c r="P247">
        <v>31</v>
      </c>
      <c r="Q247">
        <v>14</v>
      </c>
      <c r="R247">
        <v>30</v>
      </c>
    </row>
    <row r="248" spans="1:18" x14ac:dyDescent="0.25">
      <c r="A248" t="s">
        <v>455</v>
      </c>
      <c r="B248" t="s">
        <v>456</v>
      </c>
      <c r="C248">
        <v>36</v>
      </c>
      <c r="D248" t="s">
        <v>25</v>
      </c>
      <c r="E248" t="s">
        <v>51</v>
      </c>
      <c r="F248">
        <v>397.88</v>
      </c>
      <c r="G248">
        <v>1</v>
      </c>
      <c r="H248" t="s">
        <v>31</v>
      </c>
      <c r="I248">
        <v>2</v>
      </c>
      <c r="J248">
        <v>3</v>
      </c>
      <c r="K248" t="str">
        <f t="shared" si="3"/>
        <v>Regular cust</v>
      </c>
      <c r="L248" t="s">
        <v>552</v>
      </c>
      <c r="M248" t="s">
        <v>548</v>
      </c>
      <c r="N248">
        <v>0.14000000000000001</v>
      </c>
      <c r="O248">
        <v>300000</v>
      </c>
      <c r="P248">
        <v>50</v>
      </c>
      <c r="Q248">
        <v>12</v>
      </c>
      <c r="R248">
        <v>70</v>
      </c>
    </row>
    <row r="249" spans="1:18" x14ac:dyDescent="0.25">
      <c r="A249" t="s">
        <v>457</v>
      </c>
      <c r="B249" t="s">
        <v>413</v>
      </c>
      <c r="C249">
        <v>39</v>
      </c>
      <c r="D249" t="s">
        <v>20</v>
      </c>
      <c r="E249" t="s">
        <v>35</v>
      </c>
      <c r="F249">
        <v>4597.71</v>
      </c>
      <c r="G249">
        <v>2</v>
      </c>
      <c r="H249" t="s">
        <v>36</v>
      </c>
      <c r="I249">
        <v>10</v>
      </c>
      <c r="J249">
        <v>1</v>
      </c>
      <c r="K249" t="str">
        <f t="shared" si="3"/>
        <v>Regular cust</v>
      </c>
      <c r="L249" t="s">
        <v>549</v>
      </c>
      <c r="M249" t="s">
        <v>11</v>
      </c>
      <c r="N249">
        <v>0.18</v>
      </c>
      <c r="O249">
        <v>450000</v>
      </c>
      <c r="P249">
        <v>80</v>
      </c>
      <c r="Q249">
        <v>15</v>
      </c>
      <c r="R249">
        <v>50</v>
      </c>
    </row>
    <row r="250" spans="1:18" x14ac:dyDescent="0.25">
      <c r="A250" t="s">
        <v>458</v>
      </c>
      <c r="B250" t="s">
        <v>86</v>
      </c>
      <c r="C250">
        <v>57</v>
      </c>
      <c r="D250" t="s">
        <v>29</v>
      </c>
      <c r="E250" t="s">
        <v>30</v>
      </c>
      <c r="F250">
        <v>4512.43</v>
      </c>
      <c r="G250">
        <v>2</v>
      </c>
      <c r="H250" t="s">
        <v>39</v>
      </c>
      <c r="I250">
        <v>7</v>
      </c>
      <c r="J250">
        <v>3</v>
      </c>
      <c r="K250" t="str">
        <f t="shared" si="3"/>
        <v>Regular cust</v>
      </c>
      <c r="L250" t="s">
        <v>547</v>
      </c>
      <c r="M250" t="s">
        <v>39</v>
      </c>
      <c r="N250">
        <v>0.12</v>
      </c>
      <c r="O250">
        <v>350000</v>
      </c>
      <c r="P250">
        <v>50</v>
      </c>
      <c r="Q250">
        <v>12</v>
      </c>
      <c r="R250">
        <v>100</v>
      </c>
    </row>
    <row r="251" spans="1:18" x14ac:dyDescent="0.25">
      <c r="A251" t="s">
        <v>459</v>
      </c>
      <c r="B251" t="s">
        <v>460</v>
      </c>
      <c r="C251">
        <v>51</v>
      </c>
      <c r="D251" t="s">
        <v>34</v>
      </c>
      <c r="E251" t="s">
        <v>30</v>
      </c>
      <c r="F251">
        <v>2654.38</v>
      </c>
      <c r="G251">
        <v>5</v>
      </c>
      <c r="H251" t="s">
        <v>22</v>
      </c>
      <c r="I251">
        <v>5</v>
      </c>
      <c r="J251">
        <v>1</v>
      </c>
      <c r="K251" t="str">
        <f t="shared" si="3"/>
        <v>Regular cust</v>
      </c>
      <c r="L251" t="s">
        <v>547</v>
      </c>
      <c r="M251" t="s">
        <v>544</v>
      </c>
      <c r="N251">
        <v>0.12</v>
      </c>
      <c r="O251">
        <v>350000</v>
      </c>
      <c r="P251">
        <v>31</v>
      </c>
      <c r="Q251">
        <v>12</v>
      </c>
      <c r="R251">
        <v>100</v>
      </c>
    </row>
    <row r="252" spans="1:18" x14ac:dyDescent="0.25">
      <c r="A252" t="s">
        <v>461</v>
      </c>
      <c r="B252" t="s">
        <v>462</v>
      </c>
      <c r="C252">
        <v>43</v>
      </c>
      <c r="D252" t="s">
        <v>25</v>
      </c>
      <c r="E252" t="s">
        <v>48</v>
      </c>
      <c r="F252">
        <v>3470.39</v>
      </c>
      <c r="G252">
        <v>4</v>
      </c>
      <c r="H252" t="s">
        <v>39</v>
      </c>
      <c r="I252">
        <v>8</v>
      </c>
      <c r="J252">
        <v>3</v>
      </c>
      <c r="K252" t="str">
        <f t="shared" si="3"/>
        <v>Regular cust</v>
      </c>
      <c r="L252" t="s">
        <v>551</v>
      </c>
      <c r="M252" t="s">
        <v>39</v>
      </c>
      <c r="N252">
        <v>0.05</v>
      </c>
      <c r="O252">
        <v>400000</v>
      </c>
      <c r="P252">
        <v>50</v>
      </c>
      <c r="Q252">
        <v>7</v>
      </c>
      <c r="R252">
        <v>40</v>
      </c>
    </row>
    <row r="253" spans="1:18" x14ac:dyDescent="0.25">
      <c r="A253" t="s">
        <v>463</v>
      </c>
      <c r="B253" t="s">
        <v>464</v>
      </c>
      <c r="C253">
        <v>31</v>
      </c>
      <c r="D253" t="s">
        <v>45</v>
      </c>
      <c r="E253" t="s">
        <v>35</v>
      </c>
      <c r="F253">
        <v>3464.58</v>
      </c>
      <c r="G253">
        <v>1</v>
      </c>
      <c r="H253" t="s">
        <v>31</v>
      </c>
      <c r="I253">
        <v>7</v>
      </c>
      <c r="J253">
        <v>1</v>
      </c>
      <c r="K253" t="str">
        <f t="shared" si="3"/>
        <v>Regular cust</v>
      </c>
      <c r="L253" t="s">
        <v>549</v>
      </c>
      <c r="M253" t="s">
        <v>548</v>
      </c>
      <c r="N253">
        <v>0.18</v>
      </c>
      <c r="O253">
        <v>450000</v>
      </c>
      <c r="P253">
        <v>50</v>
      </c>
      <c r="Q253">
        <v>15</v>
      </c>
      <c r="R253">
        <v>50</v>
      </c>
    </row>
    <row r="254" spans="1:18" x14ac:dyDescent="0.25">
      <c r="A254" t="s">
        <v>465</v>
      </c>
      <c r="B254" t="s">
        <v>466</v>
      </c>
      <c r="C254">
        <v>30</v>
      </c>
      <c r="D254" t="s">
        <v>25</v>
      </c>
      <c r="E254" t="s">
        <v>30</v>
      </c>
      <c r="F254">
        <v>1796.34</v>
      </c>
      <c r="G254">
        <v>4</v>
      </c>
      <c r="H254" t="s">
        <v>31</v>
      </c>
      <c r="I254">
        <v>8</v>
      </c>
      <c r="J254">
        <v>1</v>
      </c>
      <c r="K254" t="str">
        <f t="shared" si="3"/>
        <v>Regular cust</v>
      </c>
      <c r="L254" t="s">
        <v>547</v>
      </c>
      <c r="M254" t="s">
        <v>548</v>
      </c>
      <c r="N254">
        <v>0.12</v>
      </c>
      <c r="O254">
        <v>350000</v>
      </c>
      <c r="P254">
        <v>50</v>
      </c>
      <c r="Q254">
        <v>12</v>
      </c>
      <c r="R254">
        <v>100</v>
      </c>
    </row>
    <row r="255" spans="1:18" x14ac:dyDescent="0.25">
      <c r="A255" t="s">
        <v>467</v>
      </c>
      <c r="B255" t="s">
        <v>468</v>
      </c>
      <c r="C255">
        <v>37</v>
      </c>
      <c r="D255" t="s">
        <v>45</v>
      </c>
      <c r="E255" t="s">
        <v>26</v>
      </c>
      <c r="F255">
        <v>3711.88</v>
      </c>
      <c r="G255">
        <v>2</v>
      </c>
      <c r="H255" t="s">
        <v>31</v>
      </c>
      <c r="I255">
        <v>5</v>
      </c>
      <c r="J255">
        <v>3</v>
      </c>
      <c r="K255" t="str">
        <f t="shared" si="3"/>
        <v>Regular cust</v>
      </c>
      <c r="L255" t="s">
        <v>545</v>
      </c>
      <c r="M255" t="s">
        <v>548</v>
      </c>
      <c r="N255">
        <v>0.12</v>
      </c>
      <c r="O255">
        <v>240000</v>
      </c>
      <c r="P255">
        <v>50</v>
      </c>
      <c r="Q255">
        <v>14</v>
      </c>
      <c r="R255">
        <v>30</v>
      </c>
    </row>
    <row r="256" spans="1:18" x14ac:dyDescent="0.25">
      <c r="A256" t="s">
        <v>469</v>
      </c>
      <c r="B256" t="s">
        <v>177</v>
      </c>
      <c r="C256">
        <v>28</v>
      </c>
      <c r="D256" t="s">
        <v>54</v>
      </c>
      <c r="E256" t="s">
        <v>26</v>
      </c>
      <c r="F256">
        <v>3305.92</v>
      </c>
      <c r="G256">
        <v>5</v>
      </c>
      <c r="H256" t="s">
        <v>42</v>
      </c>
      <c r="I256">
        <v>6</v>
      </c>
      <c r="J256">
        <v>3</v>
      </c>
      <c r="K256" t="str">
        <f t="shared" si="3"/>
        <v>Regular cust</v>
      </c>
      <c r="L256" t="s">
        <v>545</v>
      </c>
      <c r="M256" t="s">
        <v>550</v>
      </c>
      <c r="N256">
        <v>0.12</v>
      </c>
      <c r="O256">
        <v>240000</v>
      </c>
      <c r="P256">
        <v>90</v>
      </c>
      <c r="Q256">
        <v>14</v>
      </c>
      <c r="R256">
        <v>30</v>
      </c>
    </row>
    <row r="257" spans="1:18" x14ac:dyDescent="0.25">
      <c r="A257" t="s">
        <v>470</v>
      </c>
      <c r="B257" t="s">
        <v>471</v>
      </c>
      <c r="C257">
        <v>37</v>
      </c>
      <c r="D257" t="s">
        <v>29</v>
      </c>
      <c r="E257" t="s">
        <v>35</v>
      </c>
      <c r="F257">
        <v>3869.02</v>
      </c>
      <c r="G257">
        <v>2</v>
      </c>
      <c r="H257" t="s">
        <v>31</v>
      </c>
      <c r="I257">
        <v>8</v>
      </c>
      <c r="J257">
        <v>4</v>
      </c>
      <c r="K257" t="str">
        <f t="shared" si="3"/>
        <v>Regular cust</v>
      </c>
      <c r="L257" t="s">
        <v>549</v>
      </c>
      <c r="M257" t="s">
        <v>548</v>
      </c>
      <c r="N257">
        <v>0.18</v>
      </c>
      <c r="O257">
        <v>450000</v>
      </c>
      <c r="P257">
        <v>50</v>
      </c>
      <c r="Q257">
        <v>15</v>
      </c>
      <c r="R257">
        <v>50</v>
      </c>
    </row>
    <row r="258" spans="1:18" x14ac:dyDescent="0.25">
      <c r="A258" t="s">
        <v>472</v>
      </c>
      <c r="B258" t="s">
        <v>473</v>
      </c>
      <c r="C258">
        <v>41</v>
      </c>
      <c r="D258" t="s">
        <v>25</v>
      </c>
      <c r="E258" t="s">
        <v>26</v>
      </c>
      <c r="F258">
        <v>1047.23</v>
      </c>
      <c r="G258">
        <v>3</v>
      </c>
      <c r="H258" t="s">
        <v>36</v>
      </c>
      <c r="I258">
        <v>10</v>
      </c>
      <c r="J258">
        <v>4</v>
      </c>
      <c r="K258" t="str">
        <f t="shared" si="3"/>
        <v>Priority cust</v>
      </c>
      <c r="L258" t="s">
        <v>545</v>
      </c>
      <c r="M258" t="s">
        <v>11</v>
      </c>
      <c r="N258">
        <v>0.12</v>
      </c>
      <c r="O258">
        <v>240000</v>
      </c>
      <c r="P258">
        <v>80</v>
      </c>
      <c r="Q258">
        <v>14</v>
      </c>
      <c r="R258">
        <v>30</v>
      </c>
    </row>
    <row r="259" spans="1:18" x14ac:dyDescent="0.25">
      <c r="A259" t="s">
        <v>474</v>
      </c>
      <c r="B259" t="s">
        <v>475</v>
      </c>
      <c r="C259">
        <v>41</v>
      </c>
      <c r="D259" t="s">
        <v>45</v>
      </c>
      <c r="E259" t="s">
        <v>51</v>
      </c>
      <c r="F259">
        <v>3339.63</v>
      </c>
      <c r="G259">
        <v>2</v>
      </c>
      <c r="H259" t="s">
        <v>22</v>
      </c>
      <c r="I259">
        <v>10</v>
      </c>
      <c r="J259">
        <v>1</v>
      </c>
      <c r="K259" t="str">
        <f t="shared" ref="K259:K301" si="4">IF(AND(J259&gt;=4,G259&gt;=3),"Priority cust","Regular cust")</f>
        <v>Regular cust</v>
      </c>
      <c r="L259" t="s">
        <v>552</v>
      </c>
      <c r="M259" t="s">
        <v>544</v>
      </c>
      <c r="N259">
        <v>0.14000000000000001</v>
      </c>
      <c r="O259">
        <v>300000</v>
      </c>
      <c r="P259">
        <v>31</v>
      </c>
      <c r="Q259">
        <v>12</v>
      </c>
      <c r="R259">
        <v>70</v>
      </c>
    </row>
    <row r="260" spans="1:18" x14ac:dyDescent="0.25">
      <c r="A260" t="s">
        <v>476</v>
      </c>
      <c r="B260" t="s">
        <v>477</v>
      </c>
      <c r="C260">
        <v>42</v>
      </c>
      <c r="D260" t="s">
        <v>34</v>
      </c>
      <c r="E260" t="s">
        <v>21</v>
      </c>
      <c r="F260">
        <v>3662.32</v>
      </c>
      <c r="G260">
        <v>4</v>
      </c>
      <c r="H260" t="s">
        <v>42</v>
      </c>
      <c r="I260">
        <v>5</v>
      </c>
      <c r="J260">
        <v>2</v>
      </c>
      <c r="K260" t="str">
        <f t="shared" si="4"/>
        <v>Regular cust</v>
      </c>
      <c r="L260" t="s">
        <v>543</v>
      </c>
      <c r="M260" t="s">
        <v>550</v>
      </c>
      <c r="N260">
        <v>0.1</v>
      </c>
      <c r="O260">
        <v>560000</v>
      </c>
      <c r="P260">
        <v>90</v>
      </c>
      <c r="Q260">
        <v>13</v>
      </c>
      <c r="R260">
        <v>60</v>
      </c>
    </row>
    <row r="261" spans="1:18" x14ac:dyDescent="0.25">
      <c r="A261" t="s">
        <v>478</v>
      </c>
      <c r="B261" t="s">
        <v>479</v>
      </c>
      <c r="C261">
        <v>19</v>
      </c>
      <c r="D261" t="s">
        <v>25</v>
      </c>
      <c r="E261" t="s">
        <v>48</v>
      </c>
      <c r="F261">
        <v>4304.53</v>
      </c>
      <c r="G261">
        <v>4</v>
      </c>
      <c r="H261" t="s">
        <v>36</v>
      </c>
      <c r="I261">
        <v>10</v>
      </c>
      <c r="J261">
        <v>1</v>
      </c>
      <c r="K261" t="str">
        <f t="shared" si="4"/>
        <v>Regular cust</v>
      </c>
      <c r="L261" t="s">
        <v>551</v>
      </c>
      <c r="M261" t="s">
        <v>11</v>
      </c>
      <c r="N261">
        <v>0.05</v>
      </c>
      <c r="O261">
        <v>400000</v>
      </c>
      <c r="P261">
        <v>80</v>
      </c>
      <c r="Q261">
        <v>7</v>
      </c>
      <c r="R261">
        <v>40</v>
      </c>
    </row>
    <row r="262" spans="1:18" x14ac:dyDescent="0.25">
      <c r="A262" t="s">
        <v>480</v>
      </c>
      <c r="B262" t="s">
        <v>481</v>
      </c>
      <c r="C262">
        <v>50</v>
      </c>
      <c r="D262" t="s">
        <v>25</v>
      </c>
      <c r="E262" t="s">
        <v>26</v>
      </c>
      <c r="F262">
        <v>3618.54</v>
      </c>
      <c r="G262">
        <v>4</v>
      </c>
      <c r="H262" t="s">
        <v>39</v>
      </c>
      <c r="I262">
        <v>9</v>
      </c>
      <c r="J262">
        <v>1</v>
      </c>
      <c r="K262" t="str">
        <f t="shared" si="4"/>
        <v>Regular cust</v>
      </c>
      <c r="L262" t="s">
        <v>545</v>
      </c>
      <c r="M262" t="s">
        <v>39</v>
      </c>
      <c r="N262">
        <v>0.12</v>
      </c>
      <c r="O262">
        <v>240000</v>
      </c>
      <c r="P262">
        <v>50</v>
      </c>
      <c r="Q262">
        <v>14</v>
      </c>
      <c r="R262">
        <v>30</v>
      </c>
    </row>
    <row r="263" spans="1:18" x14ac:dyDescent="0.25">
      <c r="A263" t="s">
        <v>482</v>
      </c>
      <c r="B263" t="s">
        <v>483</v>
      </c>
      <c r="C263">
        <v>37</v>
      </c>
      <c r="D263" t="s">
        <v>25</v>
      </c>
      <c r="E263" t="s">
        <v>48</v>
      </c>
      <c r="F263">
        <v>320.44</v>
      </c>
      <c r="G263">
        <v>2</v>
      </c>
      <c r="H263" t="s">
        <v>39</v>
      </c>
      <c r="I263">
        <v>3</v>
      </c>
      <c r="J263">
        <v>4</v>
      </c>
      <c r="K263" t="str">
        <f t="shared" si="4"/>
        <v>Regular cust</v>
      </c>
      <c r="L263" t="s">
        <v>551</v>
      </c>
      <c r="M263" t="s">
        <v>39</v>
      </c>
      <c r="N263">
        <v>0.05</v>
      </c>
      <c r="O263">
        <v>400000</v>
      </c>
      <c r="P263">
        <v>50</v>
      </c>
      <c r="Q263">
        <v>7</v>
      </c>
      <c r="R263">
        <v>40</v>
      </c>
    </row>
    <row r="264" spans="1:18" x14ac:dyDescent="0.25">
      <c r="A264" t="s">
        <v>484</v>
      </c>
      <c r="B264" t="s">
        <v>141</v>
      </c>
      <c r="C264">
        <v>59</v>
      </c>
      <c r="D264" t="s">
        <v>34</v>
      </c>
      <c r="E264" t="s">
        <v>26</v>
      </c>
      <c r="F264">
        <v>4981.6099999999997</v>
      </c>
      <c r="G264">
        <v>5</v>
      </c>
      <c r="H264" t="s">
        <v>22</v>
      </c>
      <c r="I264">
        <v>8</v>
      </c>
      <c r="J264">
        <v>2</v>
      </c>
      <c r="K264" t="str">
        <f t="shared" si="4"/>
        <v>Regular cust</v>
      </c>
      <c r="L264" t="s">
        <v>545</v>
      </c>
      <c r="M264" t="s">
        <v>544</v>
      </c>
      <c r="N264">
        <v>0.12</v>
      </c>
      <c r="O264">
        <v>240000</v>
      </c>
      <c r="P264">
        <v>31</v>
      </c>
      <c r="Q264">
        <v>14</v>
      </c>
      <c r="R264">
        <v>30</v>
      </c>
    </row>
    <row r="265" spans="1:18" x14ac:dyDescent="0.25">
      <c r="A265" t="s">
        <v>485</v>
      </c>
      <c r="B265" t="s">
        <v>486</v>
      </c>
      <c r="C265">
        <v>54</v>
      </c>
      <c r="D265" t="s">
        <v>25</v>
      </c>
      <c r="E265" t="s">
        <v>35</v>
      </c>
      <c r="F265">
        <v>3810.29</v>
      </c>
      <c r="G265">
        <v>2</v>
      </c>
      <c r="H265" t="s">
        <v>39</v>
      </c>
      <c r="I265">
        <v>2</v>
      </c>
      <c r="J265">
        <v>5</v>
      </c>
      <c r="K265" t="str">
        <f t="shared" si="4"/>
        <v>Regular cust</v>
      </c>
      <c r="L265" t="s">
        <v>549</v>
      </c>
      <c r="M265" t="s">
        <v>39</v>
      </c>
      <c r="N265">
        <v>0.18</v>
      </c>
      <c r="O265">
        <v>450000</v>
      </c>
      <c r="P265">
        <v>50</v>
      </c>
      <c r="Q265">
        <v>15</v>
      </c>
      <c r="R265">
        <v>50</v>
      </c>
    </row>
    <row r="266" spans="1:18" x14ac:dyDescent="0.25">
      <c r="A266" t="s">
        <v>487</v>
      </c>
      <c r="B266" t="s">
        <v>488</v>
      </c>
      <c r="C266">
        <v>32</v>
      </c>
      <c r="D266" t="s">
        <v>34</v>
      </c>
      <c r="E266" t="s">
        <v>35</v>
      </c>
      <c r="F266">
        <v>1098.8900000000001</v>
      </c>
      <c r="G266">
        <v>4</v>
      </c>
      <c r="H266" t="s">
        <v>39</v>
      </c>
      <c r="I266">
        <v>10</v>
      </c>
      <c r="J266">
        <v>5</v>
      </c>
      <c r="K266" t="str">
        <f t="shared" si="4"/>
        <v>Priority cust</v>
      </c>
      <c r="L266" t="s">
        <v>549</v>
      </c>
      <c r="M266" t="s">
        <v>39</v>
      </c>
      <c r="N266">
        <v>0.18</v>
      </c>
      <c r="O266">
        <v>450000</v>
      </c>
      <c r="P266">
        <v>50</v>
      </c>
      <c r="Q266">
        <v>15</v>
      </c>
      <c r="R266">
        <v>50</v>
      </c>
    </row>
    <row r="267" spans="1:18" x14ac:dyDescent="0.25">
      <c r="A267" t="s">
        <v>489</v>
      </c>
      <c r="B267" t="s">
        <v>490</v>
      </c>
      <c r="C267">
        <v>19</v>
      </c>
      <c r="D267" t="s">
        <v>45</v>
      </c>
      <c r="E267" t="s">
        <v>51</v>
      </c>
      <c r="F267">
        <v>4712.2299999999996</v>
      </c>
      <c r="G267">
        <v>3</v>
      </c>
      <c r="H267" t="s">
        <v>36</v>
      </c>
      <c r="I267">
        <v>9</v>
      </c>
      <c r="J267">
        <v>2</v>
      </c>
      <c r="K267" t="str">
        <f t="shared" si="4"/>
        <v>Regular cust</v>
      </c>
      <c r="L267" t="s">
        <v>552</v>
      </c>
      <c r="M267" t="s">
        <v>11</v>
      </c>
      <c r="N267">
        <v>0.14000000000000001</v>
      </c>
      <c r="O267">
        <v>300000</v>
      </c>
      <c r="P267">
        <v>80</v>
      </c>
      <c r="Q267">
        <v>12</v>
      </c>
      <c r="R267">
        <v>70</v>
      </c>
    </row>
    <row r="268" spans="1:18" x14ac:dyDescent="0.25">
      <c r="A268" t="s">
        <v>491</v>
      </c>
      <c r="B268" t="s">
        <v>416</v>
      </c>
      <c r="C268">
        <v>57</v>
      </c>
      <c r="D268" t="s">
        <v>54</v>
      </c>
      <c r="E268" t="s">
        <v>30</v>
      </c>
      <c r="F268">
        <v>3035.49</v>
      </c>
      <c r="G268">
        <v>1</v>
      </c>
      <c r="H268" t="s">
        <v>42</v>
      </c>
      <c r="I268">
        <v>6</v>
      </c>
      <c r="J268">
        <v>2</v>
      </c>
      <c r="K268" t="str">
        <f t="shared" si="4"/>
        <v>Regular cust</v>
      </c>
      <c r="L268" t="s">
        <v>547</v>
      </c>
      <c r="M268" t="s">
        <v>550</v>
      </c>
      <c r="N268">
        <v>0.12</v>
      </c>
      <c r="O268">
        <v>350000</v>
      </c>
      <c r="P268">
        <v>90</v>
      </c>
      <c r="Q268">
        <v>12</v>
      </c>
      <c r="R268">
        <v>100</v>
      </c>
    </row>
    <row r="269" spans="1:18" x14ac:dyDescent="0.25">
      <c r="A269" t="s">
        <v>492</v>
      </c>
      <c r="B269" t="s">
        <v>196</v>
      </c>
      <c r="C269">
        <v>48</v>
      </c>
      <c r="D269" t="s">
        <v>25</v>
      </c>
      <c r="E269" t="s">
        <v>51</v>
      </c>
      <c r="F269">
        <v>324.32</v>
      </c>
      <c r="G269">
        <v>3</v>
      </c>
      <c r="H269" t="s">
        <v>31</v>
      </c>
      <c r="I269">
        <v>3</v>
      </c>
      <c r="J269">
        <v>2</v>
      </c>
      <c r="K269" t="str">
        <f t="shared" si="4"/>
        <v>Regular cust</v>
      </c>
      <c r="L269" t="s">
        <v>552</v>
      </c>
      <c r="M269" t="s">
        <v>548</v>
      </c>
      <c r="N269">
        <v>0.14000000000000001</v>
      </c>
      <c r="O269">
        <v>300000</v>
      </c>
      <c r="P269">
        <v>50</v>
      </c>
      <c r="Q269">
        <v>12</v>
      </c>
      <c r="R269">
        <v>70</v>
      </c>
    </row>
    <row r="270" spans="1:18" x14ac:dyDescent="0.25">
      <c r="A270" t="s">
        <v>493</v>
      </c>
      <c r="B270" t="s">
        <v>111</v>
      </c>
      <c r="C270">
        <v>26</v>
      </c>
      <c r="D270" t="s">
        <v>25</v>
      </c>
      <c r="E270" t="s">
        <v>26</v>
      </c>
      <c r="F270">
        <v>2392.4699999999998</v>
      </c>
      <c r="G270">
        <v>1</v>
      </c>
      <c r="H270" t="s">
        <v>42</v>
      </c>
      <c r="I270">
        <v>8</v>
      </c>
      <c r="J270">
        <v>4</v>
      </c>
      <c r="K270" t="str">
        <f t="shared" si="4"/>
        <v>Regular cust</v>
      </c>
      <c r="L270" t="s">
        <v>545</v>
      </c>
      <c r="M270" t="s">
        <v>550</v>
      </c>
      <c r="N270">
        <v>0.12</v>
      </c>
      <c r="O270">
        <v>240000</v>
      </c>
      <c r="P270">
        <v>90</v>
      </c>
      <c r="Q270">
        <v>14</v>
      </c>
      <c r="R270">
        <v>30</v>
      </c>
    </row>
    <row r="271" spans="1:18" x14ac:dyDescent="0.25">
      <c r="A271" t="s">
        <v>494</v>
      </c>
      <c r="B271" t="s">
        <v>495</v>
      </c>
      <c r="C271">
        <v>24</v>
      </c>
      <c r="D271" t="s">
        <v>34</v>
      </c>
      <c r="E271" t="s">
        <v>21</v>
      </c>
      <c r="F271">
        <v>1821.85</v>
      </c>
      <c r="G271">
        <v>2</v>
      </c>
      <c r="H271" t="s">
        <v>36</v>
      </c>
      <c r="I271">
        <v>4</v>
      </c>
      <c r="J271">
        <v>4</v>
      </c>
      <c r="K271" t="str">
        <f t="shared" si="4"/>
        <v>Regular cust</v>
      </c>
      <c r="L271" t="s">
        <v>543</v>
      </c>
      <c r="M271" t="s">
        <v>11</v>
      </c>
      <c r="N271">
        <v>0.1</v>
      </c>
      <c r="O271">
        <v>560000</v>
      </c>
      <c r="P271">
        <v>80</v>
      </c>
      <c r="Q271">
        <v>13</v>
      </c>
      <c r="R271">
        <v>60</v>
      </c>
    </row>
    <row r="272" spans="1:18" x14ac:dyDescent="0.25">
      <c r="A272" t="s">
        <v>496</v>
      </c>
      <c r="B272" t="s">
        <v>497</v>
      </c>
      <c r="C272">
        <v>29</v>
      </c>
      <c r="D272" t="s">
        <v>54</v>
      </c>
      <c r="E272" t="s">
        <v>51</v>
      </c>
      <c r="F272">
        <v>459.52</v>
      </c>
      <c r="G272">
        <v>3</v>
      </c>
      <c r="H272" t="s">
        <v>36</v>
      </c>
      <c r="I272">
        <v>1</v>
      </c>
      <c r="J272">
        <v>5</v>
      </c>
      <c r="K272" t="str">
        <f t="shared" si="4"/>
        <v>Priority cust</v>
      </c>
      <c r="L272" t="s">
        <v>552</v>
      </c>
      <c r="M272" t="s">
        <v>11</v>
      </c>
      <c r="N272">
        <v>0.14000000000000001</v>
      </c>
      <c r="O272">
        <v>300000</v>
      </c>
      <c r="P272">
        <v>80</v>
      </c>
      <c r="Q272">
        <v>12</v>
      </c>
      <c r="R272">
        <v>70</v>
      </c>
    </row>
    <row r="273" spans="1:18" x14ac:dyDescent="0.25">
      <c r="A273" t="s">
        <v>498</v>
      </c>
      <c r="B273" t="s">
        <v>499</v>
      </c>
      <c r="C273">
        <v>43</v>
      </c>
      <c r="D273" t="s">
        <v>25</v>
      </c>
      <c r="E273" t="s">
        <v>26</v>
      </c>
      <c r="F273">
        <v>368.87</v>
      </c>
      <c r="G273">
        <v>4</v>
      </c>
      <c r="H273" t="s">
        <v>22</v>
      </c>
      <c r="I273">
        <v>7</v>
      </c>
      <c r="J273">
        <v>1</v>
      </c>
      <c r="K273" t="str">
        <f t="shared" si="4"/>
        <v>Regular cust</v>
      </c>
      <c r="L273" t="s">
        <v>545</v>
      </c>
      <c r="M273" t="s">
        <v>544</v>
      </c>
      <c r="N273">
        <v>0.12</v>
      </c>
      <c r="O273">
        <v>240000</v>
      </c>
      <c r="P273">
        <v>31</v>
      </c>
      <c r="Q273">
        <v>14</v>
      </c>
      <c r="R273">
        <v>30</v>
      </c>
    </row>
    <row r="274" spans="1:18" x14ac:dyDescent="0.25">
      <c r="A274" t="s">
        <v>500</v>
      </c>
      <c r="B274" t="s">
        <v>501</v>
      </c>
      <c r="C274">
        <v>18</v>
      </c>
      <c r="D274" t="s">
        <v>25</v>
      </c>
      <c r="E274" t="s">
        <v>30</v>
      </c>
      <c r="F274">
        <v>4375.1000000000004</v>
      </c>
      <c r="G274">
        <v>3</v>
      </c>
      <c r="H274" t="s">
        <v>31</v>
      </c>
      <c r="I274">
        <v>7</v>
      </c>
      <c r="J274">
        <v>3</v>
      </c>
      <c r="K274" t="str">
        <f t="shared" si="4"/>
        <v>Regular cust</v>
      </c>
      <c r="L274" t="s">
        <v>547</v>
      </c>
      <c r="M274" t="s">
        <v>548</v>
      </c>
      <c r="N274">
        <v>0.12</v>
      </c>
      <c r="O274">
        <v>350000</v>
      </c>
      <c r="P274">
        <v>50</v>
      </c>
      <c r="Q274">
        <v>12</v>
      </c>
      <c r="R274">
        <v>100</v>
      </c>
    </row>
    <row r="275" spans="1:18" x14ac:dyDescent="0.25">
      <c r="A275" t="s">
        <v>502</v>
      </c>
      <c r="B275" t="s">
        <v>503</v>
      </c>
      <c r="C275">
        <v>50</v>
      </c>
      <c r="D275" t="s">
        <v>29</v>
      </c>
      <c r="E275" t="s">
        <v>30</v>
      </c>
      <c r="F275">
        <v>2750</v>
      </c>
      <c r="G275">
        <v>3</v>
      </c>
      <c r="H275" t="s">
        <v>36</v>
      </c>
      <c r="I275">
        <v>1</v>
      </c>
      <c r="J275">
        <v>1</v>
      </c>
      <c r="K275" t="str">
        <f t="shared" si="4"/>
        <v>Regular cust</v>
      </c>
      <c r="L275" t="s">
        <v>547</v>
      </c>
      <c r="M275" t="s">
        <v>11</v>
      </c>
      <c r="N275">
        <v>0.12</v>
      </c>
      <c r="O275">
        <v>350000</v>
      </c>
      <c r="P275">
        <v>80</v>
      </c>
      <c r="Q275">
        <v>12</v>
      </c>
      <c r="R275">
        <v>100</v>
      </c>
    </row>
    <row r="276" spans="1:18" x14ac:dyDescent="0.25">
      <c r="A276" t="s">
        <v>504</v>
      </c>
      <c r="B276" t="s">
        <v>505</v>
      </c>
      <c r="C276">
        <v>48</v>
      </c>
      <c r="D276" t="s">
        <v>29</v>
      </c>
      <c r="E276" t="s">
        <v>26</v>
      </c>
      <c r="F276">
        <v>1773.66</v>
      </c>
      <c r="G276">
        <v>5</v>
      </c>
      <c r="H276" t="s">
        <v>36</v>
      </c>
      <c r="I276">
        <v>7</v>
      </c>
      <c r="J276">
        <v>2</v>
      </c>
      <c r="K276" t="str">
        <f t="shared" si="4"/>
        <v>Regular cust</v>
      </c>
      <c r="L276" t="s">
        <v>545</v>
      </c>
      <c r="M276" t="s">
        <v>11</v>
      </c>
      <c r="N276">
        <v>0.12</v>
      </c>
      <c r="O276">
        <v>240000</v>
      </c>
      <c r="P276">
        <v>80</v>
      </c>
      <c r="Q276">
        <v>14</v>
      </c>
      <c r="R276">
        <v>30</v>
      </c>
    </row>
    <row r="277" spans="1:18" x14ac:dyDescent="0.25">
      <c r="A277" t="s">
        <v>506</v>
      </c>
      <c r="B277" t="s">
        <v>261</v>
      </c>
      <c r="C277">
        <v>45</v>
      </c>
      <c r="D277" t="s">
        <v>45</v>
      </c>
      <c r="E277" t="s">
        <v>21</v>
      </c>
      <c r="F277">
        <v>2434.5300000000002</v>
      </c>
      <c r="G277">
        <v>3</v>
      </c>
      <c r="H277" t="s">
        <v>39</v>
      </c>
      <c r="I277">
        <v>8</v>
      </c>
      <c r="J277">
        <v>4</v>
      </c>
      <c r="K277" t="str">
        <f t="shared" si="4"/>
        <v>Priority cust</v>
      </c>
      <c r="L277" t="s">
        <v>543</v>
      </c>
      <c r="M277" t="s">
        <v>39</v>
      </c>
      <c r="N277">
        <v>0.1</v>
      </c>
      <c r="O277">
        <v>560000</v>
      </c>
      <c r="P277">
        <v>50</v>
      </c>
      <c r="Q277">
        <v>13</v>
      </c>
      <c r="R277">
        <v>60</v>
      </c>
    </row>
    <row r="278" spans="1:18" x14ac:dyDescent="0.25">
      <c r="A278" t="s">
        <v>507</v>
      </c>
      <c r="B278" t="s">
        <v>508</v>
      </c>
      <c r="C278">
        <v>20</v>
      </c>
      <c r="D278" t="s">
        <v>34</v>
      </c>
      <c r="E278" t="s">
        <v>21</v>
      </c>
      <c r="F278">
        <v>940.15</v>
      </c>
      <c r="G278">
        <v>3</v>
      </c>
      <c r="H278" t="s">
        <v>42</v>
      </c>
      <c r="I278">
        <v>8</v>
      </c>
      <c r="J278">
        <v>3</v>
      </c>
      <c r="K278" t="str">
        <f t="shared" si="4"/>
        <v>Regular cust</v>
      </c>
      <c r="L278" t="s">
        <v>543</v>
      </c>
      <c r="M278" t="s">
        <v>550</v>
      </c>
      <c r="N278">
        <v>0.1</v>
      </c>
      <c r="O278">
        <v>560000</v>
      </c>
      <c r="P278">
        <v>90</v>
      </c>
      <c r="Q278">
        <v>13</v>
      </c>
      <c r="R278">
        <v>60</v>
      </c>
    </row>
    <row r="279" spans="1:18" x14ac:dyDescent="0.25">
      <c r="A279" t="s">
        <v>509</v>
      </c>
      <c r="B279" t="s">
        <v>84</v>
      </c>
      <c r="C279">
        <v>42</v>
      </c>
      <c r="D279" t="s">
        <v>54</v>
      </c>
      <c r="E279" t="s">
        <v>21</v>
      </c>
      <c r="F279">
        <v>1342.47</v>
      </c>
      <c r="G279">
        <v>1</v>
      </c>
      <c r="H279" t="s">
        <v>39</v>
      </c>
      <c r="I279">
        <v>9</v>
      </c>
      <c r="J279">
        <v>5</v>
      </c>
      <c r="K279" t="str">
        <f t="shared" si="4"/>
        <v>Regular cust</v>
      </c>
      <c r="L279" t="s">
        <v>543</v>
      </c>
      <c r="M279" t="s">
        <v>39</v>
      </c>
      <c r="N279">
        <v>0.1</v>
      </c>
      <c r="O279">
        <v>560000</v>
      </c>
      <c r="P279">
        <v>50</v>
      </c>
      <c r="Q279">
        <v>13</v>
      </c>
      <c r="R279">
        <v>60</v>
      </c>
    </row>
    <row r="280" spans="1:18" x14ac:dyDescent="0.25">
      <c r="A280" t="s">
        <v>510</v>
      </c>
      <c r="B280" t="s">
        <v>511</v>
      </c>
      <c r="C280">
        <v>60</v>
      </c>
      <c r="D280" t="s">
        <v>45</v>
      </c>
      <c r="E280" t="s">
        <v>26</v>
      </c>
      <c r="F280">
        <v>4399.2299999999996</v>
      </c>
      <c r="G280">
        <v>1</v>
      </c>
      <c r="H280" t="s">
        <v>42</v>
      </c>
      <c r="I280">
        <v>8</v>
      </c>
      <c r="J280">
        <v>1</v>
      </c>
      <c r="K280" t="str">
        <f t="shared" si="4"/>
        <v>Regular cust</v>
      </c>
      <c r="L280" t="s">
        <v>545</v>
      </c>
      <c r="M280" t="s">
        <v>550</v>
      </c>
      <c r="N280">
        <v>0.12</v>
      </c>
      <c r="O280">
        <v>240000</v>
      </c>
      <c r="P280">
        <v>90</v>
      </c>
      <c r="Q280">
        <v>14</v>
      </c>
      <c r="R280">
        <v>30</v>
      </c>
    </row>
    <row r="281" spans="1:18" x14ac:dyDescent="0.25">
      <c r="A281" t="s">
        <v>512</v>
      </c>
      <c r="B281" t="s">
        <v>513</v>
      </c>
      <c r="C281">
        <v>56</v>
      </c>
      <c r="D281" t="s">
        <v>25</v>
      </c>
      <c r="E281" t="s">
        <v>48</v>
      </c>
      <c r="F281">
        <v>3583.52</v>
      </c>
      <c r="G281">
        <v>4</v>
      </c>
      <c r="H281" t="s">
        <v>36</v>
      </c>
      <c r="I281">
        <v>1</v>
      </c>
      <c r="J281">
        <v>4</v>
      </c>
      <c r="K281" t="str">
        <f t="shared" si="4"/>
        <v>Priority cust</v>
      </c>
      <c r="L281" t="s">
        <v>551</v>
      </c>
      <c r="M281" t="s">
        <v>11</v>
      </c>
      <c r="N281">
        <v>0.05</v>
      </c>
      <c r="O281">
        <v>400000</v>
      </c>
      <c r="P281">
        <v>80</v>
      </c>
      <c r="Q281">
        <v>7</v>
      </c>
      <c r="R281">
        <v>40</v>
      </c>
    </row>
    <row r="282" spans="1:18" x14ac:dyDescent="0.25">
      <c r="A282" t="s">
        <v>514</v>
      </c>
      <c r="B282" t="s">
        <v>231</v>
      </c>
      <c r="C282">
        <v>40</v>
      </c>
      <c r="D282" t="s">
        <v>29</v>
      </c>
      <c r="E282" t="s">
        <v>26</v>
      </c>
      <c r="F282">
        <v>3643.09</v>
      </c>
      <c r="G282">
        <v>4</v>
      </c>
      <c r="H282" t="s">
        <v>22</v>
      </c>
      <c r="I282">
        <v>7</v>
      </c>
      <c r="J282">
        <v>1</v>
      </c>
      <c r="K282" t="str">
        <f t="shared" si="4"/>
        <v>Regular cust</v>
      </c>
      <c r="L282" t="s">
        <v>545</v>
      </c>
      <c r="M282" t="s">
        <v>544</v>
      </c>
      <c r="N282">
        <v>0.12</v>
      </c>
      <c r="O282">
        <v>240000</v>
      </c>
      <c r="P282">
        <v>31</v>
      </c>
      <c r="Q282">
        <v>14</v>
      </c>
      <c r="R282">
        <v>30</v>
      </c>
    </row>
    <row r="283" spans="1:18" x14ac:dyDescent="0.25">
      <c r="A283" t="s">
        <v>515</v>
      </c>
      <c r="B283" t="s">
        <v>516</v>
      </c>
      <c r="C283">
        <v>28</v>
      </c>
      <c r="D283" t="s">
        <v>20</v>
      </c>
      <c r="E283" t="s">
        <v>21</v>
      </c>
      <c r="F283">
        <v>3776.14</v>
      </c>
      <c r="G283">
        <v>1</v>
      </c>
      <c r="H283" t="s">
        <v>39</v>
      </c>
      <c r="I283">
        <v>9</v>
      </c>
      <c r="J283">
        <v>4</v>
      </c>
      <c r="K283" t="str">
        <f t="shared" si="4"/>
        <v>Regular cust</v>
      </c>
      <c r="L283" t="s">
        <v>543</v>
      </c>
      <c r="M283" t="s">
        <v>39</v>
      </c>
      <c r="N283">
        <v>0.1</v>
      </c>
      <c r="O283">
        <v>560000</v>
      </c>
      <c r="P283">
        <v>50</v>
      </c>
      <c r="Q283">
        <v>13</v>
      </c>
      <c r="R283">
        <v>60</v>
      </c>
    </row>
    <row r="284" spans="1:18" x14ac:dyDescent="0.25">
      <c r="A284" t="s">
        <v>517</v>
      </c>
      <c r="B284" t="s">
        <v>518</v>
      </c>
      <c r="C284">
        <v>36</v>
      </c>
      <c r="D284" t="s">
        <v>29</v>
      </c>
      <c r="E284" t="s">
        <v>21</v>
      </c>
      <c r="F284">
        <v>1509.4</v>
      </c>
      <c r="G284">
        <v>4</v>
      </c>
      <c r="H284" t="s">
        <v>31</v>
      </c>
      <c r="I284">
        <v>2</v>
      </c>
      <c r="J284">
        <v>5</v>
      </c>
      <c r="K284" t="str">
        <f t="shared" si="4"/>
        <v>Priority cust</v>
      </c>
      <c r="L284" t="s">
        <v>543</v>
      </c>
      <c r="M284" t="s">
        <v>548</v>
      </c>
      <c r="N284">
        <v>0.1</v>
      </c>
      <c r="O284">
        <v>560000</v>
      </c>
      <c r="P284">
        <v>50</v>
      </c>
      <c r="Q284">
        <v>13</v>
      </c>
      <c r="R284">
        <v>60</v>
      </c>
    </row>
    <row r="285" spans="1:18" x14ac:dyDescent="0.25">
      <c r="A285" t="s">
        <v>519</v>
      </c>
      <c r="B285" t="s">
        <v>520</v>
      </c>
      <c r="C285">
        <v>52</v>
      </c>
      <c r="D285" t="s">
        <v>34</v>
      </c>
      <c r="E285" t="s">
        <v>21</v>
      </c>
      <c r="F285">
        <v>2077.15</v>
      </c>
      <c r="G285">
        <v>3</v>
      </c>
      <c r="H285" t="s">
        <v>39</v>
      </c>
      <c r="I285">
        <v>8</v>
      </c>
      <c r="J285">
        <v>5</v>
      </c>
      <c r="K285" t="str">
        <f t="shared" si="4"/>
        <v>Priority cust</v>
      </c>
      <c r="L285" t="s">
        <v>543</v>
      </c>
      <c r="M285" t="s">
        <v>39</v>
      </c>
      <c r="N285">
        <v>0.1</v>
      </c>
      <c r="O285">
        <v>560000</v>
      </c>
      <c r="P285">
        <v>50</v>
      </c>
      <c r="Q285">
        <v>13</v>
      </c>
      <c r="R285">
        <v>60</v>
      </c>
    </row>
    <row r="286" spans="1:18" x14ac:dyDescent="0.25">
      <c r="A286" t="s">
        <v>521</v>
      </c>
      <c r="B286" t="s">
        <v>522</v>
      </c>
      <c r="C286">
        <v>22</v>
      </c>
      <c r="D286" t="s">
        <v>45</v>
      </c>
      <c r="E286" t="s">
        <v>35</v>
      </c>
      <c r="F286">
        <v>2115.89</v>
      </c>
      <c r="G286">
        <v>5</v>
      </c>
      <c r="H286" t="s">
        <v>22</v>
      </c>
      <c r="I286">
        <v>9</v>
      </c>
      <c r="J286">
        <v>1</v>
      </c>
      <c r="K286" t="str">
        <f t="shared" si="4"/>
        <v>Regular cust</v>
      </c>
      <c r="L286" t="s">
        <v>549</v>
      </c>
      <c r="M286" t="s">
        <v>544</v>
      </c>
      <c r="N286">
        <v>0.18</v>
      </c>
      <c r="O286">
        <v>450000</v>
      </c>
      <c r="P286">
        <v>31</v>
      </c>
      <c r="Q286">
        <v>15</v>
      </c>
      <c r="R286">
        <v>50</v>
      </c>
    </row>
    <row r="287" spans="1:18" x14ac:dyDescent="0.25">
      <c r="A287" t="s">
        <v>523</v>
      </c>
      <c r="B287" t="s">
        <v>338</v>
      </c>
      <c r="C287">
        <v>39</v>
      </c>
      <c r="D287" t="s">
        <v>25</v>
      </c>
      <c r="E287" t="s">
        <v>26</v>
      </c>
      <c r="F287">
        <v>4130.76</v>
      </c>
      <c r="G287">
        <v>5</v>
      </c>
      <c r="H287" t="s">
        <v>39</v>
      </c>
      <c r="I287">
        <v>1</v>
      </c>
      <c r="J287">
        <v>5</v>
      </c>
      <c r="K287" t="str">
        <f t="shared" si="4"/>
        <v>Priority cust</v>
      </c>
      <c r="L287" t="s">
        <v>545</v>
      </c>
      <c r="M287" t="s">
        <v>39</v>
      </c>
      <c r="N287">
        <v>0.12</v>
      </c>
      <c r="O287">
        <v>240000</v>
      </c>
      <c r="P287">
        <v>50</v>
      </c>
      <c r="Q287">
        <v>14</v>
      </c>
      <c r="R287">
        <v>30</v>
      </c>
    </row>
    <row r="288" spans="1:18" x14ac:dyDescent="0.25">
      <c r="A288" t="s">
        <v>524</v>
      </c>
      <c r="B288" t="s">
        <v>19</v>
      </c>
      <c r="C288">
        <v>22</v>
      </c>
      <c r="D288" t="s">
        <v>45</v>
      </c>
      <c r="E288" t="s">
        <v>51</v>
      </c>
      <c r="F288">
        <v>1176.54</v>
      </c>
      <c r="G288">
        <v>3</v>
      </c>
      <c r="H288" t="s">
        <v>42</v>
      </c>
      <c r="I288">
        <v>10</v>
      </c>
      <c r="J288">
        <v>1</v>
      </c>
      <c r="K288" t="str">
        <f t="shared" si="4"/>
        <v>Regular cust</v>
      </c>
      <c r="L288" t="s">
        <v>552</v>
      </c>
      <c r="M288" t="s">
        <v>550</v>
      </c>
      <c r="N288">
        <v>0.14000000000000001</v>
      </c>
      <c r="O288">
        <v>300000</v>
      </c>
      <c r="P288">
        <v>90</v>
      </c>
      <c r="Q288">
        <v>12</v>
      </c>
      <c r="R288">
        <v>70</v>
      </c>
    </row>
    <row r="289" spans="1:18" x14ac:dyDescent="0.25">
      <c r="A289" t="s">
        <v>525</v>
      </c>
      <c r="B289" t="s">
        <v>218</v>
      </c>
      <c r="C289">
        <v>19</v>
      </c>
      <c r="D289" t="s">
        <v>29</v>
      </c>
      <c r="E289" t="s">
        <v>35</v>
      </c>
      <c r="F289">
        <v>4906.8100000000004</v>
      </c>
      <c r="G289">
        <v>5</v>
      </c>
      <c r="H289" t="s">
        <v>31</v>
      </c>
      <c r="I289">
        <v>8</v>
      </c>
      <c r="J289">
        <v>3</v>
      </c>
      <c r="K289" t="str">
        <f t="shared" si="4"/>
        <v>Regular cust</v>
      </c>
      <c r="L289" t="s">
        <v>549</v>
      </c>
      <c r="M289" t="s">
        <v>548</v>
      </c>
      <c r="N289">
        <v>0.18</v>
      </c>
      <c r="O289">
        <v>450000</v>
      </c>
      <c r="P289">
        <v>50</v>
      </c>
      <c r="Q289">
        <v>15</v>
      </c>
      <c r="R289">
        <v>50</v>
      </c>
    </row>
    <row r="290" spans="1:18" x14ac:dyDescent="0.25">
      <c r="A290" t="s">
        <v>526</v>
      </c>
      <c r="B290" t="s">
        <v>527</v>
      </c>
      <c r="C290">
        <v>28</v>
      </c>
      <c r="D290" t="s">
        <v>34</v>
      </c>
      <c r="E290" t="s">
        <v>51</v>
      </c>
      <c r="F290">
        <v>3501.63</v>
      </c>
      <c r="G290">
        <v>3</v>
      </c>
      <c r="H290" t="s">
        <v>36</v>
      </c>
      <c r="I290">
        <v>8</v>
      </c>
      <c r="J290">
        <v>3</v>
      </c>
      <c r="K290" t="str">
        <f t="shared" si="4"/>
        <v>Regular cust</v>
      </c>
      <c r="L290" t="s">
        <v>552</v>
      </c>
      <c r="M290" t="s">
        <v>11</v>
      </c>
      <c r="N290">
        <v>0.14000000000000001</v>
      </c>
      <c r="O290">
        <v>300000</v>
      </c>
      <c r="P290">
        <v>80</v>
      </c>
      <c r="Q290">
        <v>12</v>
      </c>
      <c r="R290">
        <v>70</v>
      </c>
    </row>
    <row r="291" spans="1:18" x14ac:dyDescent="0.25">
      <c r="A291" t="s">
        <v>528</v>
      </c>
      <c r="B291" t="s">
        <v>106</v>
      </c>
      <c r="C291">
        <v>42</v>
      </c>
      <c r="D291" t="s">
        <v>20</v>
      </c>
      <c r="E291" t="s">
        <v>26</v>
      </c>
      <c r="F291">
        <v>4458.7</v>
      </c>
      <c r="G291">
        <v>5</v>
      </c>
      <c r="H291" t="s">
        <v>22</v>
      </c>
      <c r="I291">
        <v>3</v>
      </c>
      <c r="J291">
        <v>5</v>
      </c>
      <c r="K291" t="str">
        <f t="shared" si="4"/>
        <v>Priority cust</v>
      </c>
      <c r="L291" t="s">
        <v>545</v>
      </c>
      <c r="M291" t="s">
        <v>544</v>
      </c>
      <c r="N291">
        <v>0.12</v>
      </c>
      <c r="O291">
        <v>240000</v>
      </c>
      <c r="P291">
        <v>31</v>
      </c>
      <c r="Q291">
        <v>14</v>
      </c>
      <c r="R291">
        <v>30</v>
      </c>
    </row>
    <row r="292" spans="1:18" x14ac:dyDescent="0.25">
      <c r="A292" t="s">
        <v>529</v>
      </c>
      <c r="B292" t="s">
        <v>530</v>
      </c>
      <c r="C292">
        <v>46</v>
      </c>
      <c r="D292" t="s">
        <v>20</v>
      </c>
      <c r="E292" t="s">
        <v>48</v>
      </c>
      <c r="F292">
        <v>1349.09</v>
      </c>
      <c r="G292">
        <v>4</v>
      </c>
      <c r="H292" t="s">
        <v>31</v>
      </c>
      <c r="I292">
        <v>6</v>
      </c>
      <c r="J292">
        <v>3</v>
      </c>
      <c r="K292" t="str">
        <f t="shared" si="4"/>
        <v>Regular cust</v>
      </c>
      <c r="L292" t="s">
        <v>551</v>
      </c>
      <c r="M292" t="s">
        <v>548</v>
      </c>
      <c r="N292">
        <v>0.05</v>
      </c>
      <c r="O292">
        <v>400000</v>
      </c>
      <c r="P292">
        <v>50</v>
      </c>
      <c r="Q292">
        <v>7</v>
      </c>
      <c r="R292">
        <v>40</v>
      </c>
    </row>
    <row r="293" spans="1:18" x14ac:dyDescent="0.25">
      <c r="A293" t="s">
        <v>531</v>
      </c>
      <c r="B293" t="s">
        <v>111</v>
      </c>
      <c r="C293">
        <v>25</v>
      </c>
      <c r="D293" t="s">
        <v>25</v>
      </c>
      <c r="E293" t="s">
        <v>30</v>
      </c>
      <c r="F293">
        <v>3098</v>
      </c>
      <c r="G293">
        <v>3</v>
      </c>
      <c r="H293" t="s">
        <v>36</v>
      </c>
      <c r="I293">
        <v>1</v>
      </c>
      <c r="J293">
        <v>4</v>
      </c>
      <c r="K293" t="str">
        <f t="shared" si="4"/>
        <v>Priority cust</v>
      </c>
      <c r="L293" t="s">
        <v>547</v>
      </c>
      <c r="M293" t="s">
        <v>11</v>
      </c>
      <c r="N293">
        <v>0.12</v>
      </c>
      <c r="O293">
        <v>350000</v>
      </c>
      <c r="P293">
        <v>80</v>
      </c>
      <c r="Q293">
        <v>12</v>
      </c>
      <c r="R293">
        <v>100</v>
      </c>
    </row>
    <row r="294" spans="1:18" x14ac:dyDescent="0.25">
      <c r="A294" t="s">
        <v>532</v>
      </c>
      <c r="B294" t="s">
        <v>533</v>
      </c>
      <c r="C294">
        <v>20</v>
      </c>
      <c r="D294" t="s">
        <v>29</v>
      </c>
      <c r="E294" t="s">
        <v>30</v>
      </c>
      <c r="F294">
        <v>1013.6</v>
      </c>
      <c r="G294">
        <v>5</v>
      </c>
      <c r="H294" t="s">
        <v>39</v>
      </c>
      <c r="I294">
        <v>10</v>
      </c>
      <c r="J294">
        <v>4</v>
      </c>
      <c r="K294" t="str">
        <f t="shared" si="4"/>
        <v>Priority cust</v>
      </c>
      <c r="L294" t="s">
        <v>547</v>
      </c>
      <c r="M294" t="s">
        <v>39</v>
      </c>
      <c r="N294">
        <v>0.12</v>
      </c>
      <c r="O294">
        <v>350000</v>
      </c>
      <c r="P294">
        <v>50</v>
      </c>
      <c r="Q294">
        <v>12</v>
      </c>
      <c r="R294">
        <v>100</v>
      </c>
    </row>
    <row r="295" spans="1:18" x14ac:dyDescent="0.25">
      <c r="A295" t="s">
        <v>534</v>
      </c>
      <c r="B295" t="s">
        <v>133</v>
      </c>
      <c r="C295">
        <v>52</v>
      </c>
      <c r="D295" t="s">
        <v>25</v>
      </c>
      <c r="E295" t="s">
        <v>30</v>
      </c>
      <c r="F295">
        <v>1860.67</v>
      </c>
      <c r="G295">
        <v>1</v>
      </c>
      <c r="H295" t="s">
        <v>31</v>
      </c>
      <c r="I295">
        <v>8</v>
      </c>
      <c r="J295">
        <v>2</v>
      </c>
      <c r="K295" t="str">
        <f t="shared" si="4"/>
        <v>Regular cust</v>
      </c>
      <c r="L295" t="s">
        <v>547</v>
      </c>
      <c r="M295" t="s">
        <v>548</v>
      </c>
      <c r="N295">
        <v>0.12</v>
      </c>
      <c r="O295">
        <v>350000</v>
      </c>
      <c r="P295">
        <v>50</v>
      </c>
      <c r="Q295">
        <v>12</v>
      </c>
      <c r="R295">
        <v>100</v>
      </c>
    </row>
    <row r="296" spans="1:18" x14ac:dyDescent="0.25">
      <c r="A296" t="s">
        <v>535</v>
      </c>
      <c r="B296" t="s">
        <v>399</v>
      </c>
      <c r="C296">
        <v>51</v>
      </c>
      <c r="D296" t="s">
        <v>25</v>
      </c>
      <c r="E296" t="s">
        <v>30</v>
      </c>
      <c r="F296">
        <v>2340.4499999999998</v>
      </c>
      <c r="G296">
        <v>1</v>
      </c>
      <c r="H296" t="s">
        <v>42</v>
      </c>
      <c r="I296">
        <v>1</v>
      </c>
      <c r="J296">
        <v>1</v>
      </c>
      <c r="K296" t="str">
        <f t="shared" si="4"/>
        <v>Regular cust</v>
      </c>
      <c r="L296" t="s">
        <v>547</v>
      </c>
      <c r="M296" t="s">
        <v>550</v>
      </c>
      <c r="N296">
        <v>0.12</v>
      </c>
      <c r="O296">
        <v>350000</v>
      </c>
      <c r="P296">
        <v>90</v>
      </c>
      <c r="Q296">
        <v>12</v>
      </c>
      <c r="R296">
        <v>100</v>
      </c>
    </row>
    <row r="297" spans="1:18" x14ac:dyDescent="0.25">
      <c r="A297" t="s">
        <v>536</v>
      </c>
      <c r="B297" t="s">
        <v>454</v>
      </c>
      <c r="C297">
        <v>19</v>
      </c>
      <c r="D297" t="s">
        <v>34</v>
      </c>
      <c r="E297" t="s">
        <v>30</v>
      </c>
      <c r="F297">
        <v>611</v>
      </c>
      <c r="G297">
        <v>4</v>
      </c>
      <c r="H297" t="s">
        <v>42</v>
      </c>
      <c r="I297">
        <v>8</v>
      </c>
      <c r="J297">
        <v>1</v>
      </c>
      <c r="K297" t="str">
        <f t="shared" si="4"/>
        <v>Regular cust</v>
      </c>
      <c r="L297" t="s">
        <v>547</v>
      </c>
      <c r="M297" t="s">
        <v>550</v>
      </c>
      <c r="N297">
        <v>0.12</v>
      </c>
      <c r="O297">
        <v>350000</v>
      </c>
      <c r="P297">
        <v>90</v>
      </c>
      <c r="Q297">
        <v>12</v>
      </c>
      <c r="R297">
        <v>100</v>
      </c>
    </row>
    <row r="298" spans="1:18" x14ac:dyDescent="0.25">
      <c r="A298" t="s">
        <v>537</v>
      </c>
      <c r="B298" t="s">
        <v>162</v>
      </c>
      <c r="C298">
        <v>59</v>
      </c>
      <c r="D298" t="s">
        <v>45</v>
      </c>
      <c r="E298" t="s">
        <v>30</v>
      </c>
      <c r="F298">
        <v>3195.33</v>
      </c>
      <c r="G298">
        <v>2</v>
      </c>
      <c r="H298" t="s">
        <v>39</v>
      </c>
      <c r="I298">
        <v>7</v>
      </c>
      <c r="J298">
        <v>5</v>
      </c>
      <c r="K298" t="str">
        <f t="shared" si="4"/>
        <v>Regular cust</v>
      </c>
      <c r="L298" t="s">
        <v>547</v>
      </c>
      <c r="M298" t="s">
        <v>39</v>
      </c>
      <c r="N298">
        <v>0.12</v>
      </c>
      <c r="O298">
        <v>350000</v>
      </c>
      <c r="P298">
        <v>50</v>
      </c>
      <c r="Q298">
        <v>12</v>
      </c>
      <c r="R298">
        <v>100</v>
      </c>
    </row>
    <row r="299" spans="1:18" x14ac:dyDescent="0.25">
      <c r="A299" t="s">
        <v>538</v>
      </c>
      <c r="B299" t="s">
        <v>143</v>
      </c>
      <c r="C299">
        <v>32</v>
      </c>
      <c r="D299" t="s">
        <v>45</v>
      </c>
      <c r="E299" t="s">
        <v>26</v>
      </c>
      <c r="F299">
        <v>1326.17</v>
      </c>
      <c r="G299">
        <v>2</v>
      </c>
      <c r="H299" t="s">
        <v>42</v>
      </c>
      <c r="I299">
        <v>6</v>
      </c>
      <c r="J299">
        <v>1</v>
      </c>
      <c r="K299" t="str">
        <f t="shared" si="4"/>
        <v>Regular cust</v>
      </c>
      <c r="L299" t="s">
        <v>545</v>
      </c>
      <c r="M299" t="s">
        <v>550</v>
      </c>
      <c r="N299">
        <v>0.12</v>
      </c>
      <c r="O299">
        <v>240000</v>
      </c>
      <c r="P299">
        <v>90</v>
      </c>
      <c r="Q299">
        <v>14</v>
      </c>
      <c r="R299">
        <v>30</v>
      </c>
    </row>
    <row r="300" spans="1:18" x14ac:dyDescent="0.25">
      <c r="A300" t="s">
        <v>539</v>
      </c>
      <c r="B300" t="s">
        <v>540</v>
      </c>
      <c r="C300">
        <v>29</v>
      </c>
      <c r="D300" t="s">
        <v>20</v>
      </c>
      <c r="E300" t="s">
        <v>48</v>
      </c>
      <c r="F300">
        <v>669.22</v>
      </c>
      <c r="G300">
        <v>1</v>
      </c>
      <c r="H300" t="s">
        <v>22</v>
      </c>
      <c r="I300">
        <v>9</v>
      </c>
      <c r="J300">
        <v>5</v>
      </c>
      <c r="K300" t="str">
        <f t="shared" si="4"/>
        <v>Regular cust</v>
      </c>
      <c r="L300" t="s">
        <v>551</v>
      </c>
      <c r="M300" t="s">
        <v>544</v>
      </c>
      <c r="N300">
        <v>0.05</v>
      </c>
      <c r="O300">
        <v>400000</v>
      </c>
      <c r="P300">
        <v>31</v>
      </c>
      <c r="Q300">
        <v>7</v>
      </c>
      <c r="R300">
        <v>40</v>
      </c>
    </row>
    <row r="301" spans="1:18" x14ac:dyDescent="0.25">
      <c r="A301" t="s">
        <v>541</v>
      </c>
      <c r="B301" t="s">
        <v>222</v>
      </c>
      <c r="C301">
        <v>44</v>
      </c>
      <c r="D301" t="s">
        <v>20</v>
      </c>
      <c r="E301" t="s">
        <v>26</v>
      </c>
      <c r="F301">
        <v>3674.04</v>
      </c>
      <c r="G301">
        <v>5</v>
      </c>
      <c r="H301" t="s">
        <v>31</v>
      </c>
      <c r="I301">
        <v>8</v>
      </c>
      <c r="J301">
        <v>4</v>
      </c>
      <c r="K301" t="str">
        <f t="shared" si="4"/>
        <v>Priority cust</v>
      </c>
      <c r="L301" t="s">
        <v>545</v>
      </c>
      <c r="M301" t="s">
        <v>548</v>
      </c>
      <c r="N301">
        <v>0.12</v>
      </c>
      <c r="O301">
        <v>240000</v>
      </c>
      <c r="P301">
        <v>50</v>
      </c>
      <c r="Q301">
        <v>14</v>
      </c>
      <c r="R301">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D394D-C781-4A07-A09A-B1CFD12C6D83}">
  <dimension ref="A1:R301"/>
  <sheetViews>
    <sheetView topLeftCell="G1" workbookViewId="0">
      <selection activeCell="O2" sqref="O2"/>
    </sheetView>
  </sheetViews>
  <sheetFormatPr defaultRowHeight="15" x14ac:dyDescent="0.25"/>
  <cols>
    <col min="1" max="1" width="9" style="3" bestFit="1" customWidth="1"/>
    <col min="2" max="2" width="11.28515625" style="3" bestFit="1" customWidth="1"/>
    <col min="3" max="3" width="14.140625" style="3" bestFit="1" customWidth="1"/>
    <col min="4" max="4" width="10.5703125" style="3" bestFit="1" customWidth="1"/>
    <col min="5" max="5" width="16.85546875" style="3" bestFit="1" customWidth="1"/>
    <col min="6" max="6" width="13.42578125" style="3" bestFit="1" customWidth="1"/>
    <col min="7" max="7" width="8.7109375" style="3" bestFit="1" customWidth="1"/>
    <col min="8" max="8" width="17" style="3" bestFit="1" customWidth="1"/>
    <col min="9" max="9" width="19.28515625" style="3" bestFit="1" customWidth="1"/>
    <col min="10" max="10" width="16.28515625" style="3" bestFit="1" customWidth="1"/>
    <col min="11" max="11" width="16.42578125" style="3" bestFit="1" customWidth="1"/>
    <col min="12" max="12" width="4.5703125" style="3" bestFit="1" customWidth="1"/>
    <col min="13" max="13" width="5" style="3" bestFit="1" customWidth="1"/>
    <col min="14" max="14" width="5.7109375" style="3" bestFit="1" customWidth="1"/>
    <col min="15" max="15" width="22.5703125" style="3" bestFit="1" customWidth="1"/>
    <col min="16" max="16" width="13.140625" style="3" bestFit="1" customWidth="1"/>
    <col min="17" max="17" width="9.85546875" style="3" bestFit="1" customWidth="1"/>
    <col min="18" max="18" width="8.85546875" style="3" bestFit="1" customWidth="1"/>
    <col min="19" max="16384" width="9.140625" style="3"/>
  </cols>
  <sheetData>
    <row r="1" spans="1:18" s="4" customFormat="1" ht="15.75"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row>
    <row r="2" spans="1:18" x14ac:dyDescent="0.25">
      <c r="A2" s="3" t="s">
        <v>18</v>
      </c>
      <c r="B2" s="3" t="s">
        <v>19</v>
      </c>
      <c r="C2" s="3">
        <v>43</v>
      </c>
      <c r="D2" s="3" t="s">
        <v>20</v>
      </c>
      <c r="E2" s="3" t="s">
        <v>21</v>
      </c>
      <c r="F2" s="3">
        <v>2100</v>
      </c>
      <c r="G2" s="3">
        <v>4</v>
      </c>
      <c r="H2" s="3" t="s">
        <v>22</v>
      </c>
      <c r="I2" s="3">
        <v>9</v>
      </c>
      <c r="J2" s="3">
        <v>4</v>
      </c>
      <c r="K2" s="3" t="s">
        <v>542</v>
      </c>
      <c r="L2" s="3" t="s">
        <v>543</v>
      </c>
      <c r="M2" s="3" t="s">
        <v>544</v>
      </c>
      <c r="N2" s="3">
        <v>0.1</v>
      </c>
      <c r="O2" s="3">
        <v>560000</v>
      </c>
      <c r="P2" s="3">
        <v>31</v>
      </c>
      <c r="Q2" s="3">
        <v>13</v>
      </c>
      <c r="R2" s="3">
        <v>60</v>
      </c>
    </row>
    <row r="3" spans="1:18" x14ac:dyDescent="0.25">
      <c r="A3" s="3" t="s">
        <v>23</v>
      </c>
      <c r="B3" s="3" t="s">
        <v>24</v>
      </c>
      <c r="C3" s="3">
        <v>23</v>
      </c>
      <c r="D3" s="3" t="s">
        <v>25</v>
      </c>
      <c r="E3" s="3" t="s">
        <v>26</v>
      </c>
      <c r="F3" s="3">
        <v>1088.42</v>
      </c>
      <c r="G3" s="3">
        <v>3</v>
      </c>
      <c r="H3" s="3" t="s">
        <v>22</v>
      </c>
      <c r="I3" s="3">
        <v>4</v>
      </c>
      <c r="J3" s="3">
        <v>5</v>
      </c>
      <c r="K3" s="3" t="s">
        <v>542</v>
      </c>
      <c r="L3" s="3" t="s">
        <v>545</v>
      </c>
      <c r="M3" s="3" t="s">
        <v>544</v>
      </c>
      <c r="N3" s="3">
        <v>0.12</v>
      </c>
      <c r="O3" s="3">
        <v>240000</v>
      </c>
      <c r="P3" s="3">
        <v>31</v>
      </c>
      <c r="Q3" s="3">
        <v>14</v>
      </c>
      <c r="R3" s="3">
        <v>30</v>
      </c>
    </row>
    <row r="4" spans="1:18" x14ac:dyDescent="0.25">
      <c r="A4" s="3" t="s">
        <v>27</v>
      </c>
      <c r="B4" s="3" t="s">
        <v>28</v>
      </c>
      <c r="C4" s="3">
        <v>57</v>
      </c>
      <c r="D4" s="3" t="s">
        <v>29</v>
      </c>
      <c r="E4" s="3" t="s">
        <v>30</v>
      </c>
      <c r="F4" s="3">
        <v>4819.04</v>
      </c>
      <c r="G4" s="3">
        <v>2</v>
      </c>
      <c r="H4" s="3" t="s">
        <v>31</v>
      </c>
      <c r="I4" s="3">
        <v>4</v>
      </c>
      <c r="J4" s="3">
        <v>5</v>
      </c>
      <c r="K4" s="3" t="s">
        <v>546</v>
      </c>
      <c r="L4" s="3" t="s">
        <v>547</v>
      </c>
      <c r="M4" s="3" t="s">
        <v>548</v>
      </c>
      <c r="N4" s="3">
        <v>0.12</v>
      </c>
      <c r="O4" s="3">
        <v>350000</v>
      </c>
      <c r="P4" s="3">
        <v>50</v>
      </c>
      <c r="Q4" s="3">
        <v>12</v>
      </c>
      <c r="R4" s="3">
        <v>100</v>
      </c>
    </row>
    <row r="5" spans="1:18" x14ac:dyDescent="0.25">
      <c r="A5" s="3" t="s">
        <v>32</v>
      </c>
      <c r="B5" s="3" t="s">
        <v>33</v>
      </c>
      <c r="C5" s="3">
        <v>46</v>
      </c>
      <c r="D5" s="3" t="s">
        <v>34</v>
      </c>
      <c r="E5" s="3" t="s">
        <v>35</v>
      </c>
      <c r="F5" s="3">
        <v>4876.28</v>
      </c>
      <c r="G5" s="3">
        <v>5</v>
      </c>
      <c r="H5" s="3" t="s">
        <v>36</v>
      </c>
      <c r="I5" s="3">
        <v>5</v>
      </c>
      <c r="J5" s="3">
        <v>3</v>
      </c>
      <c r="K5" s="3" t="s">
        <v>546</v>
      </c>
      <c r="L5" s="3" t="s">
        <v>549</v>
      </c>
      <c r="M5" s="3" t="s">
        <v>11</v>
      </c>
      <c r="N5" s="3">
        <v>0.18</v>
      </c>
      <c r="O5" s="3">
        <v>450000</v>
      </c>
      <c r="P5" s="3">
        <v>80</v>
      </c>
      <c r="Q5" s="3">
        <v>15</v>
      </c>
      <c r="R5" s="3">
        <v>50</v>
      </c>
    </row>
    <row r="6" spans="1:18" x14ac:dyDescent="0.25">
      <c r="A6" s="3" t="s">
        <v>37</v>
      </c>
      <c r="B6" s="3" t="s">
        <v>38</v>
      </c>
      <c r="C6" s="3">
        <v>24</v>
      </c>
      <c r="D6" s="3" t="s">
        <v>34</v>
      </c>
      <c r="E6" s="3" t="s">
        <v>30</v>
      </c>
      <c r="F6" s="3">
        <v>642.13</v>
      </c>
      <c r="G6" s="3">
        <v>5</v>
      </c>
      <c r="H6" s="3" t="s">
        <v>39</v>
      </c>
      <c r="I6" s="3">
        <v>10</v>
      </c>
      <c r="J6" s="3">
        <v>4</v>
      </c>
      <c r="K6" s="3" t="s">
        <v>542</v>
      </c>
      <c r="L6" s="3" t="s">
        <v>547</v>
      </c>
      <c r="M6" s="3" t="s">
        <v>39</v>
      </c>
      <c r="N6" s="3">
        <v>0.12</v>
      </c>
      <c r="O6" s="3">
        <v>350000</v>
      </c>
      <c r="P6" s="3">
        <v>50</v>
      </c>
      <c r="Q6" s="3">
        <v>12</v>
      </c>
      <c r="R6" s="3">
        <v>100</v>
      </c>
    </row>
    <row r="7" spans="1:18" x14ac:dyDescent="0.25">
      <c r="A7" s="3" t="s">
        <v>40</v>
      </c>
      <c r="B7" s="3" t="s">
        <v>41</v>
      </c>
      <c r="C7" s="3">
        <v>55</v>
      </c>
      <c r="D7" s="3" t="s">
        <v>25</v>
      </c>
      <c r="E7" s="3" t="s">
        <v>21</v>
      </c>
      <c r="F7" s="3">
        <v>1806.15</v>
      </c>
      <c r="G7" s="3">
        <v>5</v>
      </c>
      <c r="H7" s="3" t="s">
        <v>42</v>
      </c>
      <c r="I7" s="3">
        <v>10</v>
      </c>
      <c r="J7" s="3">
        <v>1</v>
      </c>
      <c r="K7" s="3" t="s">
        <v>546</v>
      </c>
      <c r="L7" s="3" t="s">
        <v>543</v>
      </c>
      <c r="M7" s="3" t="s">
        <v>550</v>
      </c>
      <c r="N7" s="3">
        <v>0.1</v>
      </c>
      <c r="O7" s="3">
        <v>560000</v>
      </c>
      <c r="P7" s="3">
        <v>90</v>
      </c>
      <c r="Q7" s="3">
        <v>13</v>
      </c>
      <c r="R7" s="3">
        <v>60</v>
      </c>
    </row>
    <row r="8" spans="1:18" x14ac:dyDescent="0.25">
      <c r="A8" s="3" t="s">
        <v>43</v>
      </c>
      <c r="B8" s="3" t="s">
        <v>44</v>
      </c>
      <c r="C8" s="3">
        <v>46</v>
      </c>
      <c r="D8" s="3" t="s">
        <v>45</v>
      </c>
      <c r="E8" s="3" t="s">
        <v>30</v>
      </c>
      <c r="F8" s="3">
        <v>4321.12</v>
      </c>
      <c r="G8" s="3">
        <v>1</v>
      </c>
      <c r="H8" s="3" t="s">
        <v>42</v>
      </c>
      <c r="I8" s="3">
        <v>9</v>
      </c>
      <c r="J8" s="3">
        <v>2</v>
      </c>
      <c r="K8" s="3" t="s">
        <v>546</v>
      </c>
      <c r="L8" s="3" t="s">
        <v>547</v>
      </c>
      <c r="M8" s="3" t="s">
        <v>550</v>
      </c>
      <c r="N8" s="3">
        <v>0.12</v>
      </c>
      <c r="O8" s="3">
        <v>350000</v>
      </c>
      <c r="P8" s="3">
        <v>90</v>
      </c>
      <c r="Q8" s="3">
        <v>12</v>
      </c>
      <c r="R8" s="3">
        <v>100</v>
      </c>
    </row>
    <row r="9" spans="1:18" x14ac:dyDescent="0.25">
      <c r="A9" s="3" t="s">
        <v>46</v>
      </c>
      <c r="B9" s="3" t="s">
        <v>47</v>
      </c>
      <c r="C9" s="3">
        <v>55</v>
      </c>
      <c r="D9" s="3" t="s">
        <v>45</v>
      </c>
      <c r="E9" s="3" t="s">
        <v>48</v>
      </c>
      <c r="F9" s="3">
        <v>2454.96</v>
      </c>
      <c r="G9" s="3">
        <v>5</v>
      </c>
      <c r="H9" s="3" t="s">
        <v>39</v>
      </c>
      <c r="I9" s="3">
        <v>9</v>
      </c>
      <c r="J9" s="3">
        <v>4</v>
      </c>
      <c r="K9" s="3" t="s">
        <v>542</v>
      </c>
      <c r="L9" s="3" t="s">
        <v>551</v>
      </c>
      <c r="M9" s="3" t="s">
        <v>39</v>
      </c>
      <c r="N9" s="3">
        <v>0.05</v>
      </c>
      <c r="O9" s="3">
        <v>400000</v>
      </c>
      <c r="P9" s="3">
        <v>50</v>
      </c>
      <c r="Q9" s="3">
        <v>7</v>
      </c>
      <c r="R9" s="3">
        <v>40</v>
      </c>
    </row>
    <row r="10" spans="1:18" x14ac:dyDescent="0.25">
      <c r="A10" s="3" t="s">
        <v>49</v>
      </c>
      <c r="B10" s="3" t="s">
        <v>50</v>
      </c>
      <c r="C10" s="3">
        <v>36</v>
      </c>
      <c r="D10" s="3" t="s">
        <v>20</v>
      </c>
      <c r="E10" s="3" t="s">
        <v>51</v>
      </c>
      <c r="F10" s="3">
        <v>2270.61</v>
      </c>
      <c r="G10" s="3">
        <v>3</v>
      </c>
      <c r="H10" s="3" t="s">
        <v>42</v>
      </c>
      <c r="I10" s="3">
        <v>8</v>
      </c>
      <c r="J10" s="3">
        <v>3</v>
      </c>
      <c r="K10" s="3" t="s">
        <v>546</v>
      </c>
      <c r="L10" s="3" t="s">
        <v>552</v>
      </c>
      <c r="M10" s="3" t="s">
        <v>550</v>
      </c>
      <c r="N10" s="3">
        <v>0.14000000000000001</v>
      </c>
      <c r="O10" s="3">
        <v>300000</v>
      </c>
      <c r="P10" s="3">
        <v>90</v>
      </c>
      <c r="Q10" s="3">
        <v>12</v>
      </c>
      <c r="R10" s="3">
        <v>70</v>
      </c>
    </row>
    <row r="11" spans="1:18" x14ac:dyDescent="0.25">
      <c r="A11" s="3" t="s">
        <v>52</v>
      </c>
      <c r="B11" s="3" t="s">
        <v>53</v>
      </c>
      <c r="C11" s="3">
        <v>30</v>
      </c>
      <c r="D11" s="3" t="s">
        <v>54</v>
      </c>
      <c r="E11" s="3" t="s">
        <v>30</v>
      </c>
      <c r="F11" s="3">
        <v>3775.38</v>
      </c>
      <c r="G11" s="3">
        <v>3</v>
      </c>
      <c r="H11" s="3" t="s">
        <v>22</v>
      </c>
      <c r="I11" s="3">
        <v>2</v>
      </c>
      <c r="J11" s="3">
        <v>5</v>
      </c>
      <c r="K11" s="3" t="s">
        <v>542</v>
      </c>
      <c r="L11" s="3" t="s">
        <v>547</v>
      </c>
      <c r="M11" s="3" t="s">
        <v>544</v>
      </c>
      <c r="N11" s="3">
        <v>0.12</v>
      </c>
      <c r="O11" s="3">
        <v>350000</v>
      </c>
      <c r="P11" s="3">
        <v>31</v>
      </c>
      <c r="Q11" s="3">
        <v>12</v>
      </c>
      <c r="R11" s="3">
        <v>100</v>
      </c>
    </row>
    <row r="12" spans="1:18" x14ac:dyDescent="0.25">
      <c r="A12" s="3" t="s">
        <v>55</v>
      </c>
      <c r="B12" s="3" t="s">
        <v>56</v>
      </c>
      <c r="C12" s="3">
        <v>23</v>
      </c>
      <c r="D12" s="3" t="s">
        <v>54</v>
      </c>
      <c r="E12" s="3" t="s">
        <v>30</v>
      </c>
      <c r="F12" s="3">
        <v>4116.28</v>
      </c>
      <c r="G12" s="3">
        <v>4</v>
      </c>
      <c r="H12" s="3" t="s">
        <v>31</v>
      </c>
      <c r="I12" s="3">
        <v>2</v>
      </c>
      <c r="J12" s="3">
        <v>4</v>
      </c>
      <c r="K12" s="3" t="s">
        <v>542</v>
      </c>
      <c r="L12" s="3" t="s">
        <v>547</v>
      </c>
      <c r="M12" s="3" t="s">
        <v>548</v>
      </c>
      <c r="N12" s="3">
        <v>0.12</v>
      </c>
      <c r="O12" s="3">
        <v>350000</v>
      </c>
      <c r="P12" s="3">
        <v>50</v>
      </c>
      <c r="Q12" s="3">
        <v>12</v>
      </c>
      <c r="R12" s="3">
        <v>100</v>
      </c>
    </row>
    <row r="13" spans="1:18" x14ac:dyDescent="0.25">
      <c r="A13" s="3" t="s">
        <v>57</v>
      </c>
      <c r="B13" s="3" t="s">
        <v>58</v>
      </c>
      <c r="C13" s="3">
        <v>44</v>
      </c>
      <c r="D13" s="3" t="s">
        <v>29</v>
      </c>
      <c r="E13" s="3" t="s">
        <v>21</v>
      </c>
      <c r="F13" s="3">
        <v>3978.48</v>
      </c>
      <c r="G13" s="3">
        <v>5</v>
      </c>
      <c r="H13" s="3" t="s">
        <v>36</v>
      </c>
      <c r="I13" s="3">
        <v>3</v>
      </c>
      <c r="J13" s="3">
        <v>3</v>
      </c>
      <c r="K13" s="3" t="s">
        <v>546</v>
      </c>
      <c r="L13" s="3" t="s">
        <v>543</v>
      </c>
      <c r="M13" s="3" t="s">
        <v>11</v>
      </c>
      <c r="N13" s="3">
        <v>0.1</v>
      </c>
      <c r="O13" s="3">
        <v>560000</v>
      </c>
      <c r="P13" s="3">
        <v>80</v>
      </c>
      <c r="Q13" s="3">
        <v>13</v>
      </c>
      <c r="R13" s="3">
        <v>60</v>
      </c>
    </row>
    <row r="14" spans="1:18" x14ac:dyDescent="0.25">
      <c r="A14" s="3" t="s">
        <v>59</v>
      </c>
      <c r="B14" s="3" t="s">
        <v>60</v>
      </c>
      <c r="C14" s="3">
        <v>33</v>
      </c>
      <c r="D14" s="3" t="s">
        <v>29</v>
      </c>
      <c r="E14" s="3" t="s">
        <v>26</v>
      </c>
      <c r="F14" s="3">
        <v>4531.84</v>
      </c>
      <c r="G14" s="3">
        <v>5</v>
      </c>
      <c r="H14" s="3" t="s">
        <v>42</v>
      </c>
      <c r="I14" s="3">
        <v>9</v>
      </c>
      <c r="J14" s="3">
        <v>2</v>
      </c>
      <c r="K14" s="3" t="s">
        <v>546</v>
      </c>
      <c r="L14" s="3" t="s">
        <v>545</v>
      </c>
      <c r="M14" s="3" t="s">
        <v>550</v>
      </c>
      <c r="N14" s="3">
        <v>0.12</v>
      </c>
      <c r="O14" s="3">
        <v>240000</v>
      </c>
      <c r="P14" s="3">
        <v>90</v>
      </c>
      <c r="Q14" s="3">
        <v>14</v>
      </c>
      <c r="R14" s="3">
        <v>30</v>
      </c>
    </row>
    <row r="15" spans="1:18" x14ac:dyDescent="0.25">
      <c r="A15" s="3" t="s">
        <v>61</v>
      </c>
      <c r="B15" s="3" t="s">
        <v>62</v>
      </c>
      <c r="C15" s="3">
        <v>50</v>
      </c>
      <c r="D15" s="3" t="s">
        <v>20</v>
      </c>
      <c r="E15" s="3" t="s">
        <v>30</v>
      </c>
      <c r="F15" s="3">
        <v>3038.19</v>
      </c>
      <c r="G15" s="3">
        <v>1</v>
      </c>
      <c r="H15" s="3" t="s">
        <v>42</v>
      </c>
      <c r="I15" s="3">
        <v>4</v>
      </c>
      <c r="J15" s="3">
        <v>4</v>
      </c>
      <c r="K15" s="3" t="s">
        <v>546</v>
      </c>
      <c r="L15" s="3" t="s">
        <v>547</v>
      </c>
      <c r="M15" s="3" t="s">
        <v>550</v>
      </c>
      <c r="N15" s="3">
        <v>0.12</v>
      </c>
      <c r="O15" s="3">
        <v>350000</v>
      </c>
      <c r="P15" s="3">
        <v>90</v>
      </c>
      <c r="Q15" s="3">
        <v>12</v>
      </c>
      <c r="R15" s="3">
        <v>100</v>
      </c>
    </row>
    <row r="16" spans="1:18" x14ac:dyDescent="0.25">
      <c r="A16" s="3" t="s">
        <v>63</v>
      </c>
      <c r="B16" s="3" t="s">
        <v>64</v>
      </c>
      <c r="C16" s="3">
        <v>19</v>
      </c>
      <c r="D16" s="3" t="s">
        <v>45</v>
      </c>
      <c r="E16" s="3" t="s">
        <v>35</v>
      </c>
      <c r="F16" s="3">
        <v>2182.13</v>
      </c>
      <c r="G16" s="3">
        <v>5</v>
      </c>
      <c r="H16" s="3" t="s">
        <v>22</v>
      </c>
      <c r="I16" s="3">
        <v>10</v>
      </c>
      <c r="J16" s="3">
        <v>1</v>
      </c>
      <c r="K16" s="3" t="s">
        <v>546</v>
      </c>
      <c r="L16" s="3" t="s">
        <v>549</v>
      </c>
      <c r="M16" s="3" t="s">
        <v>544</v>
      </c>
      <c r="N16" s="3">
        <v>0.18</v>
      </c>
      <c r="O16" s="3">
        <v>450000</v>
      </c>
      <c r="P16" s="3">
        <v>31</v>
      </c>
      <c r="Q16" s="3">
        <v>15</v>
      </c>
      <c r="R16" s="3">
        <v>50</v>
      </c>
    </row>
    <row r="17" spans="1:18" x14ac:dyDescent="0.25">
      <c r="A17" s="3" t="s">
        <v>65</v>
      </c>
      <c r="B17" s="3" t="s">
        <v>66</v>
      </c>
      <c r="C17" s="3">
        <v>49</v>
      </c>
      <c r="D17" s="3" t="s">
        <v>20</v>
      </c>
      <c r="E17" s="3" t="s">
        <v>26</v>
      </c>
      <c r="F17" s="3">
        <v>1078.4100000000001</v>
      </c>
      <c r="G17" s="3">
        <v>5</v>
      </c>
      <c r="H17" s="3" t="s">
        <v>39</v>
      </c>
      <c r="I17" s="3">
        <v>10</v>
      </c>
      <c r="J17" s="3">
        <v>3</v>
      </c>
      <c r="K17" s="3" t="s">
        <v>546</v>
      </c>
      <c r="L17" s="3" t="s">
        <v>545</v>
      </c>
      <c r="M17" s="3" t="s">
        <v>39</v>
      </c>
      <c r="N17" s="3">
        <v>0.12</v>
      </c>
      <c r="O17" s="3">
        <v>240000</v>
      </c>
      <c r="P17" s="3">
        <v>50</v>
      </c>
      <c r="Q17" s="3">
        <v>14</v>
      </c>
      <c r="R17" s="3">
        <v>30</v>
      </c>
    </row>
    <row r="18" spans="1:18" x14ac:dyDescent="0.25">
      <c r="A18" s="3" t="s">
        <v>67</v>
      </c>
      <c r="B18" s="3" t="s">
        <v>68</v>
      </c>
      <c r="C18" s="3">
        <v>52</v>
      </c>
      <c r="D18" s="3" t="s">
        <v>45</v>
      </c>
      <c r="E18" s="3" t="s">
        <v>35</v>
      </c>
      <c r="F18" s="3">
        <v>1613.93</v>
      </c>
      <c r="G18" s="3">
        <v>1</v>
      </c>
      <c r="H18" s="3" t="s">
        <v>39</v>
      </c>
      <c r="I18" s="3">
        <v>10</v>
      </c>
      <c r="J18" s="3">
        <v>3</v>
      </c>
      <c r="K18" s="3" t="s">
        <v>546</v>
      </c>
      <c r="L18" s="3" t="s">
        <v>549</v>
      </c>
      <c r="M18" s="3" t="s">
        <v>39</v>
      </c>
      <c r="N18" s="3">
        <v>0.18</v>
      </c>
      <c r="O18" s="3">
        <v>450000</v>
      </c>
      <c r="P18" s="3">
        <v>50</v>
      </c>
      <c r="Q18" s="3">
        <v>15</v>
      </c>
      <c r="R18" s="3">
        <v>50</v>
      </c>
    </row>
    <row r="19" spans="1:18" x14ac:dyDescent="0.25">
      <c r="A19" s="3" t="s">
        <v>69</v>
      </c>
      <c r="B19" s="3" t="s">
        <v>70</v>
      </c>
      <c r="C19" s="3">
        <v>37</v>
      </c>
      <c r="D19" s="3" t="s">
        <v>20</v>
      </c>
      <c r="E19" s="3" t="s">
        <v>51</v>
      </c>
      <c r="F19" s="3">
        <v>2424.6</v>
      </c>
      <c r="G19" s="3">
        <v>4</v>
      </c>
      <c r="H19" s="3" t="s">
        <v>22</v>
      </c>
      <c r="I19" s="3">
        <v>9</v>
      </c>
      <c r="J19" s="3">
        <v>4</v>
      </c>
      <c r="K19" s="3" t="s">
        <v>542</v>
      </c>
      <c r="L19" s="3" t="s">
        <v>552</v>
      </c>
      <c r="M19" s="3" t="s">
        <v>544</v>
      </c>
      <c r="N19" s="3">
        <v>0.14000000000000001</v>
      </c>
      <c r="O19" s="3">
        <v>300000</v>
      </c>
      <c r="P19" s="3">
        <v>31</v>
      </c>
      <c r="Q19" s="3">
        <v>12</v>
      </c>
      <c r="R19" s="3">
        <v>70</v>
      </c>
    </row>
    <row r="20" spans="1:18" x14ac:dyDescent="0.25">
      <c r="A20" s="3" t="s">
        <v>71</v>
      </c>
      <c r="B20" s="3" t="s">
        <v>72</v>
      </c>
      <c r="C20" s="3">
        <v>53</v>
      </c>
      <c r="D20" s="3" t="s">
        <v>54</v>
      </c>
      <c r="E20" s="3" t="s">
        <v>26</v>
      </c>
      <c r="F20" s="3">
        <v>577.95000000000005</v>
      </c>
      <c r="G20" s="3">
        <v>4</v>
      </c>
      <c r="H20" s="3" t="s">
        <v>31</v>
      </c>
      <c r="I20" s="3">
        <v>1</v>
      </c>
      <c r="J20" s="3">
        <v>3</v>
      </c>
      <c r="K20" s="3" t="s">
        <v>546</v>
      </c>
      <c r="L20" s="3" t="s">
        <v>545</v>
      </c>
      <c r="M20" s="3" t="s">
        <v>548</v>
      </c>
      <c r="N20" s="3">
        <v>0.12</v>
      </c>
      <c r="O20" s="3">
        <v>240000</v>
      </c>
      <c r="P20" s="3">
        <v>50</v>
      </c>
      <c r="Q20" s="3">
        <v>14</v>
      </c>
      <c r="R20" s="3">
        <v>30</v>
      </c>
    </row>
    <row r="21" spans="1:18" x14ac:dyDescent="0.25">
      <c r="A21" s="3" t="s">
        <v>73</v>
      </c>
      <c r="B21" s="3" t="s">
        <v>74</v>
      </c>
      <c r="C21" s="3">
        <v>26</v>
      </c>
      <c r="D21" s="3" t="s">
        <v>34</v>
      </c>
      <c r="E21" s="3" t="s">
        <v>51</v>
      </c>
      <c r="F21" s="3">
        <v>4279.2</v>
      </c>
      <c r="G21" s="3">
        <v>5</v>
      </c>
      <c r="H21" s="3" t="s">
        <v>36</v>
      </c>
      <c r="I21" s="3">
        <v>6</v>
      </c>
      <c r="J21" s="3">
        <v>3</v>
      </c>
      <c r="K21" s="3" t="s">
        <v>546</v>
      </c>
      <c r="L21" s="3" t="s">
        <v>552</v>
      </c>
      <c r="M21" s="3" t="s">
        <v>11</v>
      </c>
      <c r="N21" s="3">
        <v>0.14000000000000001</v>
      </c>
      <c r="O21" s="3">
        <v>300000</v>
      </c>
      <c r="P21" s="3">
        <v>80</v>
      </c>
      <c r="Q21" s="3">
        <v>12</v>
      </c>
      <c r="R21" s="3">
        <v>70</v>
      </c>
    </row>
    <row r="22" spans="1:18" x14ac:dyDescent="0.25">
      <c r="A22" s="3" t="s">
        <v>75</v>
      </c>
      <c r="B22" s="3" t="s">
        <v>76</v>
      </c>
      <c r="C22" s="3">
        <v>41</v>
      </c>
      <c r="D22" s="3" t="s">
        <v>45</v>
      </c>
      <c r="E22" s="3" t="s">
        <v>21</v>
      </c>
      <c r="F22" s="3">
        <v>2028.05</v>
      </c>
      <c r="G22" s="3">
        <v>3</v>
      </c>
      <c r="H22" s="3" t="s">
        <v>39</v>
      </c>
      <c r="I22" s="3">
        <v>8</v>
      </c>
      <c r="J22" s="3">
        <v>3</v>
      </c>
      <c r="K22" s="3" t="s">
        <v>546</v>
      </c>
      <c r="L22" s="3" t="s">
        <v>543</v>
      </c>
      <c r="M22" s="3" t="s">
        <v>39</v>
      </c>
      <c r="N22" s="3">
        <v>0.1</v>
      </c>
      <c r="O22" s="3">
        <v>560000</v>
      </c>
      <c r="P22" s="3">
        <v>50</v>
      </c>
      <c r="Q22" s="3">
        <v>13</v>
      </c>
      <c r="R22" s="3">
        <v>60</v>
      </c>
    </row>
    <row r="23" spans="1:18" x14ac:dyDescent="0.25">
      <c r="A23" s="3" t="s">
        <v>77</v>
      </c>
      <c r="B23" s="3" t="s">
        <v>78</v>
      </c>
      <c r="C23" s="3">
        <v>36</v>
      </c>
      <c r="D23" s="3" t="s">
        <v>45</v>
      </c>
      <c r="E23" s="3" t="s">
        <v>35</v>
      </c>
      <c r="F23" s="3">
        <v>393.3</v>
      </c>
      <c r="G23" s="3">
        <v>1</v>
      </c>
      <c r="H23" s="3" t="s">
        <v>39</v>
      </c>
      <c r="I23" s="3">
        <v>6</v>
      </c>
      <c r="J23" s="3">
        <v>5</v>
      </c>
      <c r="K23" s="3" t="s">
        <v>546</v>
      </c>
      <c r="L23" s="3" t="s">
        <v>549</v>
      </c>
      <c r="M23" s="3" t="s">
        <v>39</v>
      </c>
      <c r="N23" s="3">
        <v>0.18</v>
      </c>
      <c r="O23" s="3">
        <v>450000</v>
      </c>
      <c r="P23" s="3">
        <v>50</v>
      </c>
      <c r="Q23" s="3">
        <v>15</v>
      </c>
      <c r="R23" s="3">
        <v>50</v>
      </c>
    </row>
    <row r="24" spans="1:18" x14ac:dyDescent="0.25">
      <c r="A24" s="3" t="s">
        <v>79</v>
      </c>
      <c r="B24" s="3" t="s">
        <v>80</v>
      </c>
      <c r="C24" s="3">
        <v>29</v>
      </c>
      <c r="D24" s="3" t="s">
        <v>34</v>
      </c>
      <c r="E24" s="3" t="s">
        <v>21</v>
      </c>
      <c r="F24" s="3">
        <v>4962.08</v>
      </c>
      <c r="G24" s="3">
        <v>4</v>
      </c>
      <c r="H24" s="3" t="s">
        <v>39</v>
      </c>
      <c r="I24" s="3">
        <v>7</v>
      </c>
      <c r="J24" s="3">
        <v>3</v>
      </c>
      <c r="K24" s="3" t="s">
        <v>546</v>
      </c>
      <c r="L24" s="3" t="s">
        <v>543</v>
      </c>
      <c r="M24" s="3" t="s">
        <v>39</v>
      </c>
      <c r="N24" s="3">
        <v>0.1</v>
      </c>
      <c r="O24" s="3">
        <v>560000</v>
      </c>
      <c r="P24" s="3">
        <v>50</v>
      </c>
      <c r="Q24" s="3">
        <v>13</v>
      </c>
      <c r="R24" s="3">
        <v>60</v>
      </c>
    </row>
    <row r="25" spans="1:18" x14ac:dyDescent="0.25">
      <c r="A25" s="3" t="s">
        <v>81</v>
      </c>
      <c r="B25" s="3" t="s">
        <v>82</v>
      </c>
      <c r="C25" s="3">
        <v>35</v>
      </c>
      <c r="D25" s="3" t="s">
        <v>54</v>
      </c>
      <c r="E25" s="3" t="s">
        <v>48</v>
      </c>
      <c r="F25" s="3">
        <v>2134.5</v>
      </c>
      <c r="G25" s="3">
        <v>4</v>
      </c>
      <c r="H25" s="3" t="s">
        <v>31</v>
      </c>
      <c r="I25" s="3">
        <v>1</v>
      </c>
      <c r="J25" s="3">
        <v>2</v>
      </c>
      <c r="K25" s="3" t="s">
        <v>546</v>
      </c>
      <c r="L25" s="3" t="s">
        <v>551</v>
      </c>
      <c r="M25" s="3" t="s">
        <v>548</v>
      </c>
      <c r="N25" s="3">
        <v>0.05</v>
      </c>
      <c r="O25" s="3">
        <v>400000</v>
      </c>
      <c r="P25" s="3">
        <v>50</v>
      </c>
      <c r="Q25" s="3">
        <v>7</v>
      </c>
      <c r="R25" s="3">
        <v>40</v>
      </c>
    </row>
    <row r="26" spans="1:18" x14ac:dyDescent="0.25">
      <c r="A26" s="3" t="s">
        <v>83</v>
      </c>
      <c r="B26" s="3" t="s">
        <v>84</v>
      </c>
      <c r="C26" s="3">
        <v>32</v>
      </c>
      <c r="D26" s="3" t="s">
        <v>29</v>
      </c>
      <c r="E26" s="3" t="s">
        <v>48</v>
      </c>
      <c r="F26" s="3">
        <v>1404.66</v>
      </c>
      <c r="G26" s="3">
        <v>1</v>
      </c>
      <c r="H26" s="3" t="s">
        <v>36</v>
      </c>
      <c r="I26" s="3">
        <v>7</v>
      </c>
      <c r="J26" s="3">
        <v>3</v>
      </c>
      <c r="K26" s="3" t="s">
        <v>546</v>
      </c>
      <c r="L26" s="3" t="s">
        <v>551</v>
      </c>
      <c r="M26" s="3" t="s">
        <v>11</v>
      </c>
      <c r="N26" s="3">
        <v>0.05</v>
      </c>
      <c r="O26" s="3">
        <v>400000</v>
      </c>
      <c r="P26" s="3">
        <v>80</v>
      </c>
      <c r="Q26" s="3">
        <v>7</v>
      </c>
      <c r="R26" s="3">
        <v>40</v>
      </c>
    </row>
    <row r="27" spans="1:18" x14ac:dyDescent="0.25">
      <c r="A27" s="3" t="s">
        <v>85</v>
      </c>
      <c r="B27" s="3" t="s">
        <v>86</v>
      </c>
      <c r="C27" s="3">
        <v>53</v>
      </c>
      <c r="D27" s="3" t="s">
        <v>45</v>
      </c>
      <c r="E27" s="3" t="s">
        <v>30</v>
      </c>
      <c r="F27" s="3">
        <v>4074.35</v>
      </c>
      <c r="G27" s="3">
        <v>3</v>
      </c>
      <c r="H27" s="3" t="s">
        <v>22</v>
      </c>
      <c r="I27" s="3">
        <v>2</v>
      </c>
      <c r="J27" s="3">
        <v>1</v>
      </c>
      <c r="K27" s="3" t="s">
        <v>546</v>
      </c>
      <c r="L27" s="3" t="s">
        <v>547</v>
      </c>
      <c r="M27" s="3" t="s">
        <v>544</v>
      </c>
      <c r="N27" s="3">
        <v>0.12</v>
      </c>
      <c r="O27" s="3">
        <v>350000</v>
      </c>
      <c r="P27" s="3">
        <v>31</v>
      </c>
      <c r="Q27" s="3">
        <v>12</v>
      </c>
      <c r="R27" s="3">
        <v>100</v>
      </c>
    </row>
    <row r="28" spans="1:18" x14ac:dyDescent="0.25">
      <c r="A28" s="3" t="s">
        <v>87</v>
      </c>
      <c r="B28" s="3" t="s">
        <v>88</v>
      </c>
      <c r="C28" s="3">
        <v>29</v>
      </c>
      <c r="D28" s="3" t="s">
        <v>34</v>
      </c>
      <c r="E28" s="3" t="s">
        <v>51</v>
      </c>
      <c r="F28" s="3">
        <v>2724.67</v>
      </c>
      <c r="G28" s="3">
        <v>4</v>
      </c>
      <c r="H28" s="3" t="s">
        <v>42</v>
      </c>
      <c r="I28" s="3">
        <v>6</v>
      </c>
      <c r="J28" s="3">
        <v>2</v>
      </c>
      <c r="K28" s="3" t="s">
        <v>546</v>
      </c>
      <c r="L28" s="3" t="s">
        <v>552</v>
      </c>
      <c r="M28" s="3" t="s">
        <v>550</v>
      </c>
      <c r="N28" s="3">
        <v>0.14000000000000001</v>
      </c>
      <c r="O28" s="3">
        <v>300000</v>
      </c>
      <c r="P28" s="3">
        <v>90</v>
      </c>
      <c r="Q28" s="3">
        <v>12</v>
      </c>
      <c r="R28" s="3">
        <v>70</v>
      </c>
    </row>
    <row r="29" spans="1:18" x14ac:dyDescent="0.25">
      <c r="A29" s="3" t="s">
        <v>89</v>
      </c>
      <c r="B29" s="3" t="s">
        <v>90</v>
      </c>
      <c r="C29" s="3">
        <v>23</v>
      </c>
      <c r="D29" s="3" t="s">
        <v>45</v>
      </c>
      <c r="E29" s="3" t="s">
        <v>51</v>
      </c>
      <c r="F29" s="3">
        <v>4871.7</v>
      </c>
      <c r="G29" s="3">
        <v>2</v>
      </c>
      <c r="H29" s="3" t="s">
        <v>39</v>
      </c>
      <c r="I29" s="3">
        <v>1</v>
      </c>
      <c r="J29" s="3">
        <v>2</v>
      </c>
      <c r="K29" s="3" t="s">
        <v>546</v>
      </c>
      <c r="L29" s="3" t="s">
        <v>552</v>
      </c>
      <c r="M29" s="3" t="s">
        <v>39</v>
      </c>
      <c r="N29" s="3">
        <v>0.14000000000000001</v>
      </c>
      <c r="O29" s="3">
        <v>300000</v>
      </c>
      <c r="P29" s="3">
        <v>50</v>
      </c>
      <c r="Q29" s="3">
        <v>12</v>
      </c>
      <c r="R29" s="3">
        <v>70</v>
      </c>
    </row>
    <row r="30" spans="1:18" x14ac:dyDescent="0.25">
      <c r="A30" s="3" t="s">
        <v>91</v>
      </c>
      <c r="B30" s="3" t="s">
        <v>92</v>
      </c>
      <c r="C30" s="3">
        <v>26</v>
      </c>
      <c r="D30" s="3" t="s">
        <v>45</v>
      </c>
      <c r="E30" s="3" t="s">
        <v>26</v>
      </c>
      <c r="F30" s="3">
        <v>934.21</v>
      </c>
      <c r="G30" s="3">
        <v>3</v>
      </c>
      <c r="H30" s="3" t="s">
        <v>36</v>
      </c>
      <c r="I30" s="3">
        <v>8</v>
      </c>
      <c r="J30" s="3">
        <v>1</v>
      </c>
      <c r="K30" s="3" t="s">
        <v>546</v>
      </c>
      <c r="L30" s="3" t="s">
        <v>545</v>
      </c>
      <c r="M30" s="3" t="s">
        <v>11</v>
      </c>
      <c r="N30" s="3">
        <v>0.12</v>
      </c>
      <c r="O30" s="3">
        <v>240000</v>
      </c>
      <c r="P30" s="3">
        <v>80</v>
      </c>
      <c r="Q30" s="3">
        <v>14</v>
      </c>
      <c r="R30" s="3">
        <v>30</v>
      </c>
    </row>
    <row r="31" spans="1:18" x14ac:dyDescent="0.25">
      <c r="A31" s="3" t="s">
        <v>93</v>
      </c>
      <c r="B31" s="3" t="s">
        <v>94</v>
      </c>
      <c r="C31" s="3">
        <v>58</v>
      </c>
      <c r="D31" s="3" t="s">
        <v>54</v>
      </c>
      <c r="E31" s="3" t="s">
        <v>48</v>
      </c>
      <c r="F31" s="3">
        <v>1435.73</v>
      </c>
      <c r="G31" s="3">
        <v>2</v>
      </c>
      <c r="H31" s="3" t="s">
        <v>36</v>
      </c>
      <c r="I31" s="3">
        <v>10</v>
      </c>
      <c r="J31" s="3">
        <v>2</v>
      </c>
      <c r="K31" s="3" t="s">
        <v>546</v>
      </c>
      <c r="L31" s="3" t="s">
        <v>551</v>
      </c>
      <c r="M31" s="3" t="s">
        <v>11</v>
      </c>
      <c r="N31" s="3">
        <v>0.05</v>
      </c>
      <c r="O31" s="3">
        <v>400000</v>
      </c>
      <c r="P31" s="3">
        <v>80</v>
      </c>
      <c r="Q31" s="3">
        <v>7</v>
      </c>
      <c r="R31" s="3">
        <v>40</v>
      </c>
    </row>
    <row r="32" spans="1:18" x14ac:dyDescent="0.25">
      <c r="A32" s="3" t="s">
        <v>95</v>
      </c>
      <c r="B32" s="3" t="s">
        <v>92</v>
      </c>
      <c r="C32" s="3">
        <v>20</v>
      </c>
      <c r="D32" s="3" t="s">
        <v>34</v>
      </c>
      <c r="E32" s="3" t="s">
        <v>26</v>
      </c>
      <c r="F32" s="3">
        <v>1668.69</v>
      </c>
      <c r="G32" s="3">
        <v>2</v>
      </c>
      <c r="H32" s="3" t="s">
        <v>42</v>
      </c>
      <c r="I32" s="3">
        <v>6</v>
      </c>
      <c r="J32" s="3">
        <v>4</v>
      </c>
      <c r="K32" s="3" t="s">
        <v>546</v>
      </c>
      <c r="L32" s="3" t="s">
        <v>545</v>
      </c>
      <c r="M32" s="3" t="s">
        <v>550</v>
      </c>
      <c r="N32" s="3">
        <v>0.12</v>
      </c>
      <c r="O32" s="3">
        <v>240000</v>
      </c>
      <c r="P32" s="3">
        <v>90</v>
      </c>
      <c r="Q32" s="3">
        <v>14</v>
      </c>
      <c r="R32" s="3">
        <v>30</v>
      </c>
    </row>
    <row r="33" spans="1:18" x14ac:dyDescent="0.25">
      <c r="A33" s="3" t="s">
        <v>96</v>
      </c>
      <c r="B33" s="3" t="s">
        <v>97</v>
      </c>
      <c r="C33" s="3">
        <v>42</v>
      </c>
      <c r="D33" s="3" t="s">
        <v>25</v>
      </c>
      <c r="E33" s="3" t="s">
        <v>30</v>
      </c>
      <c r="F33" s="3">
        <v>2686.04</v>
      </c>
      <c r="G33" s="3">
        <v>3</v>
      </c>
      <c r="H33" s="3" t="s">
        <v>36</v>
      </c>
      <c r="I33" s="3">
        <v>8</v>
      </c>
      <c r="J33" s="3">
        <v>3</v>
      </c>
      <c r="K33" s="3" t="s">
        <v>546</v>
      </c>
      <c r="L33" s="3" t="s">
        <v>547</v>
      </c>
      <c r="M33" s="3" t="s">
        <v>11</v>
      </c>
      <c r="N33" s="3">
        <v>0.12</v>
      </c>
      <c r="O33" s="3">
        <v>350000</v>
      </c>
      <c r="P33" s="3">
        <v>80</v>
      </c>
      <c r="Q33" s="3">
        <v>12</v>
      </c>
      <c r="R33" s="3">
        <v>100</v>
      </c>
    </row>
    <row r="34" spans="1:18" x14ac:dyDescent="0.25">
      <c r="A34" s="3" t="s">
        <v>98</v>
      </c>
      <c r="B34" s="3" t="s">
        <v>99</v>
      </c>
      <c r="C34" s="3">
        <v>21</v>
      </c>
      <c r="D34" s="3" t="s">
        <v>45</v>
      </c>
      <c r="E34" s="3" t="s">
        <v>26</v>
      </c>
      <c r="F34" s="3">
        <v>477.1</v>
      </c>
      <c r="G34" s="3">
        <v>1</v>
      </c>
      <c r="H34" s="3" t="s">
        <v>42</v>
      </c>
      <c r="I34" s="3">
        <v>4</v>
      </c>
      <c r="J34" s="3">
        <v>3</v>
      </c>
      <c r="K34" s="3" t="s">
        <v>546</v>
      </c>
      <c r="L34" s="3" t="s">
        <v>545</v>
      </c>
      <c r="M34" s="3" t="s">
        <v>550</v>
      </c>
      <c r="N34" s="3">
        <v>0.12</v>
      </c>
      <c r="O34" s="3">
        <v>240000</v>
      </c>
      <c r="P34" s="3">
        <v>90</v>
      </c>
      <c r="Q34" s="3">
        <v>14</v>
      </c>
      <c r="R34" s="3">
        <v>30</v>
      </c>
    </row>
    <row r="35" spans="1:18" x14ac:dyDescent="0.25">
      <c r="A35" s="3" t="s">
        <v>100</v>
      </c>
      <c r="B35" s="3" t="s">
        <v>101</v>
      </c>
      <c r="C35" s="3">
        <v>33</v>
      </c>
      <c r="D35" s="3" t="s">
        <v>45</v>
      </c>
      <c r="E35" s="3" t="s">
        <v>51</v>
      </c>
      <c r="F35" s="3">
        <v>885.81</v>
      </c>
      <c r="G35" s="3">
        <v>1</v>
      </c>
      <c r="H35" s="3" t="s">
        <v>36</v>
      </c>
      <c r="I35" s="3">
        <v>3</v>
      </c>
      <c r="J35" s="3">
        <v>2</v>
      </c>
      <c r="K35" s="3" t="s">
        <v>546</v>
      </c>
      <c r="L35" s="3" t="s">
        <v>552</v>
      </c>
      <c r="M35" s="3" t="s">
        <v>11</v>
      </c>
      <c r="N35" s="3">
        <v>0.14000000000000001</v>
      </c>
      <c r="O35" s="3">
        <v>300000</v>
      </c>
      <c r="P35" s="3">
        <v>80</v>
      </c>
      <c r="Q35" s="3">
        <v>12</v>
      </c>
      <c r="R35" s="3">
        <v>70</v>
      </c>
    </row>
    <row r="36" spans="1:18" x14ac:dyDescent="0.25">
      <c r="A36" s="3" t="s">
        <v>102</v>
      </c>
      <c r="B36" s="3" t="s">
        <v>103</v>
      </c>
      <c r="C36" s="3">
        <v>50</v>
      </c>
      <c r="D36" s="3" t="s">
        <v>54</v>
      </c>
      <c r="E36" s="3" t="s">
        <v>30</v>
      </c>
      <c r="F36" s="3">
        <v>951.52</v>
      </c>
      <c r="G36" s="3">
        <v>5</v>
      </c>
      <c r="H36" s="3" t="s">
        <v>42</v>
      </c>
      <c r="I36" s="3">
        <v>6</v>
      </c>
      <c r="J36" s="3">
        <v>1</v>
      </c>
      <c r="K36" s="3" t="s">
        <v>546</v>
      </c>
      <c r="L36" s="3" t="s">
        <v>547</v>
      </c>
      <c r="M36" s="3" t="s">
        <v>550</v>
      </c>
      <c r="N36" s="3">
        <v>0.12</v>
      </c>
      <c r="O36" s="3">
        <v>350000</v>
      </c>
      <c r="P36" s="3">
        <v>90</v>
      </c>
      <c r="Q36" s="3">
        <v>12</v>
      </c>
      <c r="R36" s="3">
        <v>100</v>
      </c>
    </row>
    <row r="37" spans="1:18" x14ac:dyDescent="0.25">
      <c r="A37" s="3" t="s">
        <v>104</v>
      </c>
      <c r="B37" s="3" t="s">
        <v>97</v>
      </c>
      <c r="C37" s="3">
        <v>21</v>
      </c>
      <c r="D37" s="3" t="s">
        <v>45</v>
      </c>
      <c r="E37" s="3" t="s">
        <v>26</v>
      </c>
      <c r="F37" s="3">
        <v>2548.16</v>
      </c>
      <c r="G37" s="3">
        <v>2</v>
      </c>
      <c r="H37" s="3" t="s">
        <v>31</v>
      </c>
      <c r="I37" s="3">
        <v>5</v>
      </c>
      <c r="J37" s="3">
        <v>1</v>
      </c>
      <c r="K37" s="3" t="s">
        <v>546</v>
      </c>
      <c r="L37" s="3" t="s">
        <v>545</v>
      </c>
      <c r="M37" s="3" t="s">
        <v>548</v>
      </c>
      <c r="N37" s="3">
        <v>0.12</v>
      </c>
      <c r="O37" s="3">
        <v>240000</v>
      </c>
      <c r="P37" s="3">
        <v>50</v>
      </c>
      <c r="Q37" s="3">
        <v>14</v>
      </c>
      <c r="R37" s="3">
        <v>30</v>
      </c>
    </row>
    <row r="38" spans="1:18" x14ac:dyDescent="0.25">
      <c r="A38" s="3" t="s">
        <v>105</v>
      </c>
      <c r="B38" s="3" t="s">
        <v>106</v>
      </c>
      <c r="C38" s="3">
        <v>55</v>
      </c>
      <c r="D38" s="3" t="s">
        <v>45</v>
      </c>
      <c r="E38" s="3" t="s">
        <v>30</v>
      </c>
      <c r="F38" s="3">
        <v>3901.4</v>
      </c>
      <c r="G38" s="3">
        <v>2</v>
      </c>
      <c r="H38" s="3" t="s">
        <v>31</v>
      </c>
      <c r="I38" s="3">
        <v>3</v>
      </c>
      <c r="J38" s="3">
        <v>4</v>
      </c>
      <c r="K38" s="3" t="s">
        <v>546</v>
      </c>
      <c r="L38" s="3" t="s">
        <v>547</v>
      </c>
      <c r="M38" s="3" t="s">
        <v>548</v>
      </c>
      <c r="N38" s="3">
        <v>0.12</v>
      </c>
      <c r="O38" s="3">
        <v>350000</v>
      </c>
      <c r="P38" s="3">
        <v>50</v>
      </c>
      <c r="Q38" s="3">
        <v>12</v>
      </c>
      <c r="R38" s="3">
        <v>100</v>
      </c>
    </row>
    <row r="39" spans="1:18" x14ac:dyDescent="0.25">
      <c r="A39" s="3" t="s">
        <v>107</v>
      </c>
      <c r="B39" s="3" t="s">
        <v>108</v>
      </c>
      <c r="C39" s="3">
        <v>20</v>
      </c>
      <c r="D39" s="3" t="s">
        <v>25</v>
      </c>
      <c r="E39" s="3" t="s">
        <v>30</v>
      </c>
      <c r="F39" s="3">
        <v>3255.11</v>
      </c>
      <c r="G39" s="3">
        <v>3</v>
      </c>
      <c r="H39" s="3" t="s">
        <v>36</v>
      </c>
      <c r="I39" s="3">
        <v>7</v>
      </c>
      <c r="J39" s="3">
        <v>2</v>
      </c>
      <c r="K39" s="3" t="s">
        <v>546</v>
      </c>
      <c r="L39" s="3" t="s">
        <v>547</v>
      </c>
      <c r="M39" s="3" t="s">
        <v>11</v>
      </c>
      <c r="N39" s="3">
        <v>0.12</v>
      </c>
      <c r="O39" s="3">
        <v>350000</v>
      </c>
      <c r="P39" s="3">
        <v>80</v>
      </c>
      <c r="Q39" s="3">
        <v>12</v>
      </c>
      <c r="R39" s="3">
        <v>100</v>
      </c>
    </row>
    <row r="40" spans="1:18" x14ac:dyDescent="0.25">
      <c r="A40" s="3" t="s">
        <v>109</v>
      </c>
      <c r="B40" s="3" t="s">
        <v>97</v>
      </c>
      <c r="C40" s="3">
        <v>23</v>
      </c>
      <c r="D40" s="3" t="s">
        <v>25</v>
      </c>
      <c r="E40" s="3" t="s">
        <v>21</v>
      </c>
      <c r="F40" s="3">
        <v>3044.88</v>
      </c>
      <c r="G40" s="3">
        <v>1</v>
      </c>
      <c r="H40" s="3" t="s">
        <v>22</v>
      </c>
      <c r="I40" s="3">
        <v>9</v>
      </c>
      <c r="J40" s="3">
        <v>1</v>
      </c>
      <c r="K40" s="3" t="s">
        <v>546</v>
      </c>
      <c r="L40" s="3" t="s">
        <v>543</v>
      </c>
      <c r="M40" s="3" t="s">
        <v>544</v>
      </c>
      <c r="N40" s="3">
        <v>0.1</v>
      </c>
      <c r="O40" s="3">
        <v>560000</v>
      </c>
      <c r="P40" s="3">
        <v>31</v>
      </c>
      <c r="Q40" s="3">
        <v>13</v>
      </c>
      <c r="R40" s="3">
        <v>60</v>
      </c>
    </row>
    <row r="41" spans="1:18" x14ac:dyDescent="0.25">
      <c r="A41" s="3" t="s">
        <v>110</v>
      </c>
      <c r="B41" s="3" t="s">
        <v>111</v>
      </c>
      <c r="C41" s="3">
        <v>50</v>
      </c>
      <c r="D41" s="3" t="s">
        <v>20</v>
      </c>
      <c r="E41" s="3" t="s">
        <v>26</v>
      </c>
      <c r="F41" s="3">
        <v>1257.98</v>
      </c>
      <c r="G41" s="3">
        <v>1</v>
      </c>
      <c r="H41" s="3" t="s">
        <v>31</v>
      </c>
      <c r="I41" s="3">
        <v>1</v>
      </c>
      <c r="J41" s="3">
        <v>5</v>
      </c>
      <c r="K41" s="3" t="s">
        <v>546</v>
      </c>
      <c r="L41" s="3" t="s">
        <v>545</v>
      </c>
      <c r="M41" s="3" t="s">
        <v>548</v>
      </c>
      <c r="N41" s="3">
        <v>0.12</v>
      </c>
      <c r="O41" s="3">
        <v>240000</v>
      </c>
      <c r="P41" s="3">
        <v>50</v>
      </c>
      <c r="Q41" s="3">
        <v>14</v>
      </c>
      <c r="R41" s="3">
        <v>30</v>
      </c>
    </row>
    <row r="42" spans="1:18" x14ac:dyDescent="0.25">
      <c r="A42" s="3" t="s">
        <v>112</v>
      </c>
      <c r="B42" s="3" t="s">
        <v>113</v>
      </c>
      <c r="C42" s="3">
        <v>53</v>
      </c>
      <c r="D42" s="3" t="s">
        <v>34</v>
      </c>
      <c r="E42" s="3" t="s">
        <v>21</v>
      </c>
      <c r="F42" s="3">
        <v>816.96</v>
      </c>
      <c r="G42" s="3">
        <v>5</v>
      </c>
      <c r="H42" s="3" t="s">
        <v>36</v>
      </c>
      <c r="I42" s="3">
        <v>3</v>
      </c>
      <c r="J42" s="3">
        <v>5</v>
      </c>
      <c r="K42" s="3" t="s">
        <v>542</v>
      </c>
      <c r="L42" s="3" t="s">
        <v>543</v>
      </c>
      <c r="M42" s="3" t="s">
        <v>11</v>
      </c>
      <c r="N42" s="3">
        <v>0.1</v>
      </c>
      <c r="O42" s="3">
        <v>560000</v>
      </c>
      <c r="P42" s="3">
        <v>80</v>
      </c>
      <c r="Q42" s="3">
        <v>13</v>
      </c>
      <c r="R42" s="3">
        <v>60</v>
      </c>
    </row>
    <row r="43" spans="1:18" x14ac:dyDescent="0.25">
      <c r="A43" s="3" t="s">
        <v>114</v>
      </c>
      <c r="B43" s="3" t="s">
        <v>115</v>
      </c>
      <c r="C43" s="3">
        <v>23</v>
      </c>
      <c r="D43" s="3" t="s">
        <v>45</v>
      </c>
      <c r="E43" s="3" t="s">
        <v>51</v>
      </c>
      <c r="F43" s="3">
        <v>1312.78</v>
      </c>
      <c r="G43" s="3">
        <v>2</v>
      </c>
      <c r="H43" s="3" t="s">
        <v>36</v>
      </c>
      <c r="I43" s="3">
        <v>10</v>
      </c>
      <c r="J43" s="3">
        <v>2</v>
      </c>
      <c r="K43" s="3" t="s">
        <v>546</v>
      </c>
      <c r="L43" s="3" t="s">
        <v>552</v>
      </c>
      <c r="M43" s="3" t="s">
        <v>11</v>
      </c>
      <c r="N43" s="3">
        <v>0.14000000000000001</v>
      </c>
      <c r="O43" s="3">
        <v>300000</v>
      </c>
      <c r="P43" s="3">
        <v>80</v>
      </c>
      <c r="Q43" s="3">
        <v>12</v>
      </c>
      <c r="R43" s="3">
        <v>70</v>
      </c>
    </row>
    <row r="44" spans="1:18" x14ac:dyDescent="0.25">
      <c r="A44" s="3" t="s">
        <v>116</v>
      </c>
      <c r="B44" s="3" t="s">
        <v>28</v>
      </c>
      <c r="C44" s="3">
        <v>45</v>
      </c>
      <c r="D44" s="3" t="s">
        <v>25</v>
      </c>
      <c r="E44" s="3" t="s">
        <v>35</v>
      </c>
      <c r="F44" s="3">
        <v>2966.63</v>
      </c>
      <c r="G44" s="3">
        <v>3</v>
      </c>
      <c r="H44" s="3" t="s">
        <v>36</v>
      </c>
      <c r="I44" s="3">
        <v>8</v>
      </c>
      <c r="J44" s="3">
        <v>2</v>
      </c>
      <c r="K44" s="3" t="s">
        <v>546</v>
      </c>
      <c r="L44" s="3" t="s">
        <v>549</v>
      </c>
      <c r="M44" s="3" t="s">
        <v>11</v>
      </c>
      <c r="N44" s="3">
        <v>0.18</v>
      </c>
      <c r="O44" s="3">
        <v>450000</v>
      </c>
      <c r="P44" s="3">
        <v>80</v>
      </c>
      <c r="Q44" s="3">
        <v>15</v>
      </c>
      <c r="R44" s="3">
        <v>50</v>
      </c>
    </row>
    <row r="45" spans="1:18" x14ac:dyDescent="0.25">
      <c r="A45" s="3" t="s">
        <v>117</v>
      </c>
      <c r="B45" s="3" t="s">
        <v>118</v>
      </c>
      <c r="C45" s="3">
        <v>20</v>
      </c>
      <c r="D45" s="3" t="s">
        <v>34</v>
      </c>
      <c r="E45" s="3" t="s">
        <v>21</v>
      </c>
      <c r="F45" s="3">
        <v>1864.22</v>
      </c>
      <c r="G45" s="3">
        <v>3</v>
      </c>
      <c r="H45" s="3" t="s">
        <v>31</v>
      </c>
      <c r="I45" s="3">
        <v>8</v>
      </c>
      <c r="J45" s="3">
        <v>1</v>
      </c>
      <c r="K45" s="3" t="s">
        <v>546</v>
      </c>
      <c r="L45" s="3" t="s">
        <v>543</v>
      </c>
      <c r="M45" s="3" t="s">
        <v>548</v>
      </c>
      <c r="N45" s="3">
        <v>0.1</v>
      </c>
      <c r="O45" s="3">
        <v>560000</v>
      </c>
      <c r="P45" s="3">
        <v>50</v>
      </c>
      <c r="Q45" s="3">
        <v>13</v>
      </c>
      <c r="R45" s="3">
        <v>60</v>
      </c>
    </row>
    <row r="46" spans="1:18" x14ac:dyDescent="0.25">
      <c r="A46" s="3" t="s">
        <v>119</v>
      </c>
      <c r="B46" s="3" t="s">
        <v>120</v>
      </c>
      <c r="C46" s="3">
        <v>59</v>
      </c>
      <c r="D46" s="3" t="s">
        <v>45</v>
      </c>
      <c r="E46" s="3" t="s">
        <v>48</v>
      </c>
      <c r="F46" s="3">
        <v>2967.96</v>
      </c>
      <c r="G46" s="3">
        <v>4</v>
      </c>
      <c r="H46" s="3" t="s">
        <v>36</v>
      </c>
      <c r="I46" s="3">
        <v>3</v>
      </c>
      <c r="J46" s="3">
        <v>1</v>
      </c>
      <c r="K46" s="3" t="s">
        <v>546</v>
      </c>
      <c r="L46" s="3" t="s">
        <v>551</v>
      </c>
      <c r="M46" s="3" t="s">
        <v>11</v>
      </c>
      <c r="N46" s="3">
        <v>0.05</v>
      </c>
      <c r="O46" s="3">
        <v>400000</v>
      </c>
      <c r="P46" s="3">
        <v>80</v>
      </c>
      <c r="Q46" s="3">
        <v>7</v>
      </c>
      <c r="R46" s="3">
        <v>40</v>
      </c>
    </row>
    <row r="47" spans="1:18" x14ac:dyDescent="0.25">
      <c r="A47" s="3" t="s">
        <v>121</v>
      </c>
      <c r="B47" s="3" t="s">
        <v>122</v>
      </c>
      <c r="C47" s="3">
        <v>37</v>
      </c>
      <c r="D47" s="3" t="s">
        <v>34</v>
      </c>
      <c r="E47" s="3" t="s">
        <v>26</v>
      </c>
      <c r="F47" s="3">
        <v>3883.55</v>
      </c>
      <c r="G47" s="3">
        <v>5</v>
      </c>
      <c r="H47" s="3" t="s">
        <v>22</v>
      </c>
      <c r="I47" s="3">
        <v>1</v>
      </c>
      <c r="J47" s="3">
        <v>4</v>
      </c>
      <c r="K47" s="3" t="s">
        <v>542</v>
      </c>
      <c r="L47" s="3" t="s">
        <v>545</v>
      </c>
      <c r="M47" s="3" t="s">
        <v>544</v>
      </c>
      <c r="N47" s="3">
        <v>0.12</v>
      </c>
      <c r="O47" s="3">
        <v>240000</v>
      </c>
      <c r="P47" s="3">
        <v>31</v>
      </c>
      <c r="Q47" s="3">
        <v>14</v>
      </c>
      <c r="R47" s="3">
        <v>30</v>
      </c>
    </row>
    <row r="48" spans="1:18" x14ac:dyDescent="0.25">
      <c r="A48" s="3" t="s">
        <v>123</v>
      </c>
      <c r="B48" s="3" t="s">
        <v>124</v>
      </c>
      <c r="C48" s="3">
        <v>29</v>
      </c>
      <c r="D48" s="3" t="s">
        <v>45</v>
      </c>
      <c r="E48" s="3" t="s">
        <v>26</v>
      </c>
      <c r="F48" s="3">
        <v>1405.75</v>
      </c>
      <c r="G48" s="3">
        <v>1</v>
      </c>
      <c r="H48" s="3" t="s">
        <v>39</v>
      </c>
      <c r="I48" s="3">
        <v>3</v>
      </c>
      <c r="J48" s="3">
        <v>1</v>
      </c>
      <c r="K48" s="3" t="s">
        <v>546</v>
      </c>
      <c r="L48" s="3" t="s">
        <v>545</v>
      </c>
      <c r="M48" s="3" t="s">
        <v>39</v>
      </c>
      <c r="N48" s="3">
        <v>0.12</v>
      </c>
      <c r="O48" s="3">
        <v>240000</v>
      </c>
      <c r="P48" s="3">
        <v>50</v>
      </c>
      <c r="Q48" s="3">
        <v>14</v>
      </c>
      <c r="R48" s="3">
        <v>30</v>
      </c>
    </row>
    <row r="49" spans="1:18" x14ac:dyDescent="0.25">
      <c r="A49" s="3" t="s">
        <v>125</v>
      </c>
      <c r="B49" s="3" t="s">
        <v>126</v>
      </c>
      <c r="C49" s="3">
        <v>47</v>
      </c>
      <c r="D49" s="3" t="s">
        <v>54</v>
      </c>
      <c r="E49" s="3" t="s">
        <v>35</v>
      </c>
      <c r="F49" s="3">
        <v>4299.9399999999996</v>
      </c>
      <c r="G49" s="3">
        <v>5</v>
      </c>
      <c r="H49" s="3" t="s">
        <v>31</v>
      </c>
      <c r="I49" s="3">
        <v>1</v>
      </c>
      <c r="J49" s="3">
        <v>3</v>
      </c>
      <c r="K49" s="3" t="s">
        <v>546</v>
      </c>
      <c r="L49" s="3" t="s">
        <v>549</v>
      </c>
      <c r="M49" s="3" t="s">
        <v>548</v>
      </c>
      <c r="N49" s="3">
        <v>0.18</v>
      </c>
      <c r="O49" s="3">
        <v>450000</v>
      </c>
      <c r="P49" s="3">
        <v>50</v>
      </c>
      <c r="Q49" s="3">
        <v>15</v>
      </c>
      <c r="R49" s="3">
        <v>50</v>
      </c>
    </row>
    <row r="50" spans="1:18" x14ac:dyDescent="0.25">
      <c r="A50" s="3" t="s">
        <v>127</v>
      </c>
      <c r="B50" s="3" t="s">
        <v>128</v>
      </c>
      <c r="C50" s="3">
        <v>59</v>
      </c>
      <c r="D50" s="3" t="s">
        <v>45</v>
      </c>
      <c r="E50" s="3" t="s">
        <v>51</v>
      </c>
      <c r="F50" s="3">
        <v>860.99</v>
      </c>
      <c r="G50" s="3">
        <v>1</v>
      </c>
      <c r="H50" s="3" t="s">
        <v>42</v>
      </c>
      <c r="I50" s="3">
        <v>2</v>
      </c>
      <c r="J50" s="3">
        <v>5</v>
      </c>
      <c r="K50" s="3" t="s">
        <v>546</v>
      </c>
      <c r="L50" s="3" t="s">
        <v>552</v>
      </c>
      <c r="M50" s="3" t="s">
        <v>550</v>
      </c>
      <c r="N50" s="3">
        <v>0.14000000000000001</v>
      </c>
      <c r="O50" s="3">
        <v>300000</v>
      </c>
      <c r="P50" s="3">
        <v>90</v>
      </c>
      <c r="Q50" s="3">
        <v>12</v>
      </c>
      <c r="R50" s="3">
        <v>70</v>
      </c>
    </row>
    <row r="51" spans="1:18" x14ac:dyDescent="0.25">
      <c r="A51" s="3" t="s">
        <v>129</v>
      </c>
      <c r="B51" s="3" t="s">
        <v>130</v>
      </c>
      <c r="C51" s="3">
        <v>34</v>
      </c>
      <c r="D51" s="3" t="s">
        <v>34</v>
      </c>
      <c r="E51" s="3" t="s">
        <v>35</v>
      </c>
      <c r="F51" s="3">
        <v>2519.5500000000002</v>
      </c>
      <c r="G51" s="3">
        <v>4</v>
      </c>
      <c r="H51" s="3" t="s">
        <v>31</v>
      </c>
      <c r="I51" s="3">
        <v>4</v>
      </c>
      <c r="J51" s="3">
        <v>2</v>
      </c>
      <c r="K51" s="3" t="s">
        <v>546</v>
      </c>
      <c r="L51" s="3" t="s">
        <v>549</v>
      </c>
      <c r="M51" s="3" t="s">
        <v>548</v>
      </c>
      <c r="N51" s="3">
        <v>0.18</v>
      </c>
      <c r="O51" s="3">
        <v>450000</v>
      </c>
      <c r="P51" s="3">
        <v>50</v>
      </c>
      <c r="Q51" s="3">
        <v>15</v>
      </c>
      <c r="R51" s="3">
        <v>50</v>
      </c>
    </row>
    <row r="52" spans="1:18" x14ac:dyDescent="0.25">
      <c r="A52" s="3" t="s">
        <v>131</v>
      </c>
      <c r="B52" s="3" t="s">
        <v>115</v>
      </c>
      <c r="C52" s="3">
        <v>31</v>
      </c>
      <c r="D52" s="3" t="s">
        <v>20</v>
      </c>
      <c r="E52" s="3" t="s">
        <v>35</v>
      </c>
      <c r="F52" s="3">
        <v>746.83</v>
      </c>
      <c r="G52" s="3">
        <v>4</v>
      </c>
      <c r="H52" s="3" t="s">
        <v>42</v>
      </c>
      <c r="I52" s="3">
        <v>5</v>
      </c>
      <c r="J52" s="3">
        <v>2</v>
      </c>
      <c r="K52" s="3" t="s">
        <v>546</v>
      </c>
      <c r="L52" s="3" t="s">
        <v>549</v>
      </c>
      <c r="M52" s="3" t="s">
        <v>550</v>
      </c>
      <c r="N52" s="3">
        <v>0.18</v>
      </c>
      <c r="O52" s="3">
        <v>450000</v>
      </c>
      <c r="P52" s="3">
        <v>90</v>
      </c>
      <c r="Q52" s="3">
        <v>15</v>
      </c>
      <c r="R52" s="3">
        <v>50</v>
      </c>
    </row>
    <row r="53" spans="1:18" x14ac:dyDescent="0.25">
      <c r="A53" s="3" t="s">
        <v>132</v>
      </c>
      <c r="B53" s="3" t="s">
        <v>133</v>
      </c>
      <c r="C53" s="3">
        <v>28</v>
      </c>
      <c r="D53" s="3" t="s">
        <v>34</v>
      </c>
      <c r="E53" s="3" t="s">
        <v>21</v>
      </c>
      <c r="F53" s="3">
        <v>3945.76</v>
      </c>
      <c r="G53" s="3">
        <v>4</v>
      </c>
      <c r="H53" s="3" t="s">
        <v>22</v>
      </c>
      <c r="I53" s="3">
        <v>7</v>
      </c>
      <c r="J53" s="3">
        <v>2</v>
      </c>
      <c r="K53" s="3" t="s">
        <v>546</v>
      </c>
      <c r="L53" s="3" t="s">
        <v>543</v>
      </c>
      <c r="M53" s="3" t="s">
        <v>544</v>
      </c>
      <c r="N53" s="3">
        <v>0.1</v>
      </c>
      <c r="O53" s="3">
        <v>560000</v>
      </c>
      <c r="P53" s="3">
        <v>31</v>
      </c>
      <c r="Q53" s="3">
        <v>13</v>
      </c>
      <c r="R53" s="3">
        <v>60</v>
      </c>
    </row>
    <row r="54" spans="1:18" x14ac:dyDescent="0.25">
      <c r="A54" s="3" t="s">
        <v>134</v>
      </c>
      <c r="B54" s="3" t="s">
        <v>135</v>
      </c>
      <c r="C54" s="3">
        <v>29</v>
      </c>
      <c r="D54" s="3" t="s">
        <v>54</v>
      </c>
      <c r="E54" s="3" t="s">
        <v>48</v>
      </c>
      <c r="F54" s="3">
        <v>4685.42</v>
      </c>
      <c r="G54" s="3">
        <v>1</v>
      </c>
      <c r="H54" s="3" t="s">
        <v>36</v>
      </c>
      <c r="I54" s="3">
        <v>7</v>
      </c>
      <c r="J54" s="3">
        <v>1</v>
      </c>
      <c r="K54" s="3" t="s">
        <v>546</v>
      </c>
      <c r="L54" s="3" t="s">
        <v>551</v>
      </c>
      <c r="M54" s="3" t="s">
        <v>11</v>
      </c>
      <c r="N54" s="3">
        <v>0.05</v>
      </c>
      <c r="O54" s="3">
        <v>400000</v>
      </c>
      <c r="P54" s="3">
        <v>80</v>
      </c>
      <c r="Q54" s="3">
        <v>7</v>
      </c>
      <c r="R54" s="3">
        <v>40</v>
      </c>
    </row>
    <row r="55" spans="1:18" x14ac:dyDescent="0.25">
      <c r="A55" s="3" t="s">
        <v>136</v>
      </c>
      <c r="B55" s="3" t="s">
        <v>137</v>
      </c>
      <c r="C55" s="3">
        <v>26</v>
      </c>
      <c r="D55" s="3" t="s">
        <v>25</v>
      </c>
      <c r="E55" s="3" t="s">
        <v>51</v>
      </c>
      <c r="F55" s="3">
        <v>3191.35</v>
      </c>
      <c r="G55" s="3">
        <v>1</v>
      </c>
      <c r="H55" s="3" t="s">
        <v>39</v>
      </c>
      <c r="I55" s="3">
        <v>9</v>
      </c>
      <c r="J55" s="3">
        <v>5</v>
      </c>
      <c r="K55" s="3" t="s">
        <v>546</v>
      </c>
      <c r="L55" s="3" t="s">
        <v>552</v>
      </c>
      <c r="M55" s="3" t="s">
        <v>39</v>
      </c>
      <c r="N55" s="3">
        <v>0.14000000000000001</v>
      </c>
      <c r="O55" s="3">
        <v>300000</v>
      </c>
      <c r="P55" s="3">
        <v>50</v>
      </c>
      <c r="Q55" s="3">
        <v>12</v>
      </c>
      <c r="R55" s="3">
        <v>70</v>
      </c>
    </row>
    <row r="56" spans="1:18" x14ac:dyDescent="0.25">
      <c r="A56" s="3" t="s">
        <v>138</v>
      </c>
      <c r="B56" s="3" t="s">
        <v>139</v>
      </c>
      <c r="C56" s="3">
        <v>46</v>
      </c>
      <c r="D56" s="3" t="s">
        <v>20</v>
      </c>
      <c r="E56" s="3" t="s">
        <v>30</v>
      </c>
      <c r="F56" s="3">
        <v>3943.23</v>
      </c>
      <c r="G56" s="3">
        <v>1</v>
      </c>
      <c r="H56" s="3" t="s">
        <v>22</v>
      </c>
      <c r="I56" s="3">
        <v>2</v>
      </c>
      <c r="J56" s="3">
        <v>3</v>
      </c>
      <c r="K56" s="3" t="s">
        <v>546</v>
      </c>
      <c r="L56" s="3" t="s">
        <v>547</v>
      </c>
      <c r="M56" s="3" t="s">
        <v>544</v>
      </c>
      <c r="N56" s="3">
        <v>0.12</v>
      </c>
      <c r="O56" s="3">
        <v>350000</v>
      </c>
      <c r="P56" s="3">
        <v>31</v>
      </c>
      <c r="Q56" s="3">
        <v>12</v>
      </c>
      <c r="R56" s="3">
        <v>100</v>
      </c>
    </row>
    <row r="57" spans="1:18" x14ac:dyDescent="0.25">
      <c r="A57" s="3" t="s">
        <v>140</v>
      </c>
      <c r="B57" s="3" t="s">
        <v>141</v>
      </c>
      <c r="C57" s="3">
        <v>37</v>
      </c>
      <c r="D57" s="3" t="s">
        <v>20</v>
      </c>
      <c r="E57" s="3" t="s">
        <v>21</v>
      </c>
      <c r="F57" s="3">
        <v>3257.33</v>
      </c>
      <c r="G57" s="3">
        <v>2</v>
      </c>
      <c r="H57" s="3" t="s">
        <v>31</v>
      </c>
      <c r="I57" s="3">
        <v>10</v>
      </c>
      <c r="J57" s="3">
        <v>5</v>
      </c>
      <c r="K57" s="3" t="s">
        <v>546</v>
      </c>
      <c r="L57" s="3" t="s">
        <v>543</v>
      </c>
      <c r="M57" s="3" t="s">
        <v>548</v>
      </c>
      <c r="N57" s="3">
        <v>0.1</v>
      </c>
      <c r="O57" s="3">
        <v>560000</v>
      </c>
      <c r="P57" s="3">
        <v>50</v>
      </c>
      <c r="Q57" s="3">
        <v>13</v>
      </c>
      <c r="R57" s="3">
        <v>60</v>
      </c>
    </row>
    <row r="58" spans="1:18" x14ac:dyDescent="0.25">
      <c r="A58" s="3" t="s">
        <v>142</v>
      </c>
      <c r="B58" s="3" t="s">
        <v>143</v>
      </c>
      <c r="C58" s="3">
        <v>19</v>
      </c>
      <c r="D58" s="3" t="s">
        <v>20</v>
      </c>
      <c r="E58" s="3" t="s">
        <v>26</v>
      </c>
      <c r="F58" s="3">
        <v>2089.09</v>
      </c>
      <c r="G58" s="3">
        <v>5</v>
      </c>
      <c r="H58" s="3" t="s">
        <v>22</v>
      </c>
      <c r="I58" s="3">
        <v>1</v>
      </c>
      <c r="J58" s="3">
        <v>3</v>
      </c>
      <c r="K58" s="3" t="s">
        <v>546</v>
      </c>
      <c r="L58" s="3" t="s">
        <v>545</v>
      </c>
      <c r="M58" s="3" t="s">
        <v>544</v>
      </c>
      <c r="N58" s="3">
        <v>0.12</v>
      </c>
      <c r="O58" s="3">
        <v>240000</v>
      </c>
      <c r="P58" s="3">
        <v>31</v>
      </c>
      <c r="Q58" s="3">
        <v>14</v>
      </c>
      <c r="R58" s="3">
        <v>30</v>
      </c>
    </row>
    <row r="59" spans="1:18" x14ac:dyDescent="0.25">
      <c r="A59" s="3" t="s">
        <v>144</v>
      </c>
      <c r="B59" s="3" t="s">
        <v>145</v>
      </c>
      <c r="C59" s="3">
        <v>30</v>
      </c>
      <c r="D59" s="3" t="s">
        <v>54</v>
      </c>
      <c r="E59" s="3" t="s">
        <v>30</v>
      </c>
      <c r="F59" s="3">
        <v>992.84</v>
      </c>
      <c r="G59" s="3">
        <v>4</v>
      </c>
      <c r="H59" s="3" t="s">
        <v>36</v>
      </c>
      <c r="I59" s="3">
        <v>4</v>
      </c>
      <c r="J59" s="3">
        <v>1</v>
      </c>
      <c r="K59" s="3" t="s">
        <v>546</v>
      </c>
      <c r="L59" s="3" t="s">
        <v>547</v>
      </c>
      <c r="M59" s="3" t="s">
        <v>11</v>
      </c>
      <c r="N59" s="3">
        <v>0.12</v>
      </c>
      <c r="O59" s="3">
        <v>350000</v>
      </c>
      <c r="P59" s="3">
        <v>80</v>
      </c>
      <c r="Q59" s="3">
        <v>12</v>
      </c>
      <c r="R59" s="3">
        <v>100</v>
      </c>
    </row>
    <row r="60" spans="1:18" x14ac:dyDescent="0.25">
      <c r="A60" s="3" t="s">
        <v>146</v>
      </c>
      <c r="B60" s="3" t="s">
        <v>28</v>
      </c>
      <c r="C60" s="3">
        <v>37</v>
      </c>
      <c r="D60" s="3" t="s">
        <v>54</v>
      </c>
      <c r="E60" s="3" t="s">
        <v>21</v>
      </c>
      <c r="F60" s="3">
        <v>1799.69</v>
      </c>
      <c r="G60" s="3">
        <v>5</v>
      </c>
      <c r="H60" s="3" t="s">
        <v>39</v>
      </c>
      <c r="I60" s="3">
        <v>2</v>
      </c>
      <c r="J60" s="3">
        <v>2</v>
      </c>
      <c r="K60" s="3" t="s">
        <v>546</v>
      </c>
      <c r="L60" s="3" t="s">
        <v>543</v>
      </c>
      <c r="M60" s="3" t="s">
        <v>39</v>
      </c>
      <c r="N60" s="3">
        <v>0.1</v>
      </c>
      <c r="O60" s="3">
        <v>560000</v>
      </c>
      <c r="P60" s="3">
        <v>50</v>
      </c>
      <c r="Q60" s="3">
        <v>13</v>
      </c>
      <c r="R60" s="3">
        <v>60</v>
      </c>
    </row>
    <row r="61" spans="1:18" x14ac:dyDescent="0.25">
      <c r="A61" s="3" t="s">
        <v>147</v>
      </c>
      <c r="B61" s="3" t="s">
        <v>148</v>
      </c>
      <c r="C61" s="3">
        <v>40</v>
      </c>
      <c r="D61" s="3" t="s">
        <v>29</v>
      </c>
      <c r="E61" s="3" t="s">
        <v>21</v>
      </c>
      <c r="F61" s="3">
        <v>307.61</v>
      </c>
      <c r="G61" s="3">
        <v>1</v>
      </c>
      <c r="H61" s="3" t="s">
        <v>31</v>
      </c>
      <c r="I61" s="3">
        <v>4</v>
      </c>
      <c r="J61" s="3">
        <v>3</v>
      </c>
      <c r="K61" s="3" t="s">
        <v>546</v>
      </c>
      <c r="L61" s="3" t="s">
        <v>543</v>
      </c>
      <c r="M61" s="3" t="s">
        <v>548</v>
      </c>
      <c r="N61" s="3">
        <v>0.1</v>
      </c>
      <c r="O61" s="3">
        <v>560000</v>
      </c>
      <c r="P61" s="3">
        <v>50</v>
      </c>
      <c r="Q61" s="3">
        <v>13</v>
      </c>
      <c r="R61" s="3">
        <v>60</v>
      </c>
    </row>
    <row r="62" spans="1:18" x14ac:dyDescent="0.25">
      <c r="A62" s="3" t="s">
        <v>149</v>
      </c>
      <c r="B62" s="3" t="s">
        <v>150</v>
      </c>
      <c r="C62" s="3">
        <v>34</v>
      </c>
      <c r="D62" s="3" t="s">
        <v>20</v>
      </c>
      <c r="E62" s="3" t="s">
        <v>35</v>
      </c>
      <c r="F62" s="3">
        <v>2957.68</v>
      </c>
      <c r="G62" s="3">
        <v>4</v>
      </c>
      <c r="H62" s="3" t="s">
        <v>39</v>
      </c>
      <c r="I62" s="3">
        <v>1</v>
      </c>
      <c r="J62" s="3">
        <v>1</v>
      </c>
      <c r="K62" s="3" t="s">
        <v>546</v>
      </c>
      <c r="L62" s="3" t="s">
        <v>549</v>
      </c>
      <c r="M62" s="3" t="s">
        <v>39</v>
      </c>
      <c r="N62" s="3">
        <v>0.18</v>
      </c>
      <c r="O62" s="3">
        <v>450000</v>
      </c>
      <c r="P62" s="3">
        <v>50</v>
      </c>
      <c r="Q62" s="3">
        <v>15</v>
      </c>
      <c r="R62" s="3">
        <v>50</v>
      </c>
    </row>
    <row r="63" spans="1:18" x14ac:dyDescent="0.25">
      <c r="A63" s="3" t="s">
        <v>151</v>
      </c>
      <c r="B63" s="3" t="s">
        <v>152</v>
      </c>
      <c r="C63" s="3">
        <v>42</v>
      </c>
      <c r="D63" s="3" t="s">
        <v>29</v>
      </c>
      <c r="E63" s="3" t="s">
        <v>48</v>
      </c>
      <c r="F63" s="3">
        <v>4901.13</v>
      </c>
      <c r="G63" s="3">
        <v>1</v>
      </c>
      <c r="H63" s="3" t="s">
        <v>22</v>
      </c>
      <c r="I63" s="3">
        <v>1</v>
      </c>
      <c r="J63" s="3">
        <v>5</v>
      </c>
      <c r="K63" s="3" t="s">
        <v>546</v>
      </c>
      <c r="L63" s="3" t="s">
        <v>551</v>
      </c>
      <c r="M63" s="3" t="s">
        <v>544</v>
      </c>
      <c r="N63" s="3">
        <v>0.05</v>
      </c>
      <c r="O63" s="3">
        <v>400000</v>
      </c>
      <c r="P63" s="3">
        <v>31</v>
      </c>
      <c r="Q63" s="3">
        <v>7</v>
      </c>
      <c r="R63" s="3">
        <v>40</v>
      </c>
    </row>
    <row r="64" spans="1:18" x14ac:dyDescent="0.25">
      <c r="A64" s="3" t="s">
        <v>153</v>
      </c>
      <c r="B64" s="3" t="s">
        <v>66</v>
      </c>
      <c r="C64" s="3">
        <v>50</v>
      </c>
      <c r="D64" s="3" t="s">
        <v>54</v>
      </c>
      <c r="E64" s="3" t="s">
        <v>30</v>
      </c>
      <c r="F64" s="3">
        <v>3886.43</v>
      </c>
      <c r="G64" s="3">
        <v>2</v>
      </c>
      <c r="H64" s="3" t="s">
        <v>39</v>
      </c>
      <c r="I64" s="3">
        <v>2</v>
      </c>
      <c r="J64" s="3">
        <v>1</v>
      </c>
      <c r="K64" s="3" t="s">
        <v>546</v>
      </c>
      <c r="L64" s="3" t="s">
        <v>547</v>
      </c>
      <c r="M64" s="3" t="s">
        <v>39</v>
      </c>
      <c r="N64" s="3">
        <v>0.12</v>
      </c>
      <c r="O64" s="3">
        <v>350000</v>
      </c>
      <c r="P64" s="3">
        <v>50</v>
      </c>
      <c r="Q64" s="3">
        <v>12</v>
      </c>
      <c r="R64" s="3">
        <v>100</v>
      </c>
    </row>
    <row r="65" spans="1:18" x14ac:dyDescent="0.25">
      <c r="A65" s="3" t="s">
        <v>154</v>
      </c>
      <c r="B65" s="3" t="s">
        <v>72</v>
      </c>
      <c r="C65" s="3">
        <v>40</v>
      </c>
      <c r="D65" s="3" t="s">
        <v>20</v>
      </c>
      <c r="E65" s="3" t="s">
        <v>48</v>
      </c>
      <c r="F65" s="3">
        <v>4264.84</v>
      </c>
      <c r="G65" s="3">
        <v>4</v>
      </c>
      <c r="H65" s="3" t="s">
        <v>22</v>
      </c>
      <c r="I65" s="3">
        <v>8</v>
      </c>
      <c r="J65" s="3">
        <v>3</v>
      </c>
      <c r="K65" s="3" t="s">
        <v>546</v>
      </c>
      <c r="L65" s="3" t="s">
        <v>551</v>
      </c>
      <c r="M65" s="3" t="s">
        <v>544</v>
      </c>
      <c r="N65" s="3">
        <v>0.05</v>
      </c>
      <c r="O65" s="3">
        <v>400000</v>
      </c>
      <c r="P65" s="3">
        <v>31</v>
      </c>
      <c r="Q65" s="3">
        <v>7</v>
      </c>
      <c r="R65" s="3">
        <v>40</v>
      </c>
    </row>
    <row r="66" spans="1:18" x14ac:dyDescent="0.25">
      <c r="A66" s="3" t="s">
        <v>155</v>
      </c>
      <c r="B66" s="3" t="s">
        <v>156</v>
      </c>
      <c r="C66" s="3">
        <v>53</v>
      </c>
      <c r="D66" s="3" t="s">
        <v>29</v>
      </c>
      <c r="E66" s="3" t="s">
        <v>26</v>
      </c>
      <c r="F66" s="3">
        <v>2995.05</v>
      </c>
      <c r="G66" s="3">
        <v>2</v>
      </c>
      <c r="H66" s="3" t="s">
        <v>36</v>
      </c>
      <c r="I66" s="3">
        <v>10</v>
      </c>
      <c r="J66" s="3">
        <v>3</v>
      </c>
      <c r="K66" s="3" t="s">
        <v>546</v>
      </c>
      <c r="L66" s="3" t="s">
        <v>545</v>
      </c>
      <c r="M66" s="3" t="s">
        <v>11</v>
      </c>
      <c r="N66" s="3">
        <v>0.12</v>
      </c>
      <c r="O66" s="3">
        <v>240000</v>
      </c>
      <c r="P66" s="3">
        <v>80</v>
      </c>
      <c r="Q66" s="3">
        <v>14</v>
      </c>
      <c r="R66" s="3">
        <v>30</v>
      </c>
    </row>
    <row r="67" spans="1:18" x14ac:dyDescent="0.25">
      <c r="A67" s="3" t="s">
        <v>157</v>
      </c>
      <c r="B67" s="3" t="s">
        <v>158</v>
      </c>
      <c r="C67" s="3">
        <v>56</v>
      </c>
      <c r="D67" s="3" t="s">
        <v>34</v>
      </c>
      <c r="E67" s="3" t="s">
        <v>35</v>
      </c>
      <c r="F67" s="3">
        <v>576.41</v>
      </c>
      <c r="G67" s="3">
        <v>2</v>
      </c>
      <c r="H67" s="3" t="s">
        <v>39</v>
      </c>
      <c r="I67" s="3">
        <v>3</v>
      </c>
      <c r="J67" s="3">
        <v>2</v>
      </c>
      <c r="K67" s="3" t="s">
        <v>546</v>
      </c>
      <c r="L67" s="3" t="s">
        <v>549</v>
      </c>
      <c r="M67" s="3" t="s">
        <v>39</v>
      </c>
      <c r="N67" s="3">
        <v>0.18</v>
      </c>
      <c r="O67" s="3">
        <v>450000</v>
      </c>
      <c r="P67" s="3">
        <v>50</v>
      </c>
      <c r="Q67" s="3">
        <v>15</v>
      </c>
      <c r="R67" s="3">
        <v>50</v>
      </c>
    </row>
    <row r="68" spans="1:18" x14ac:dyDescent="0.25">
      <c r="A68" s="3" t="s">
        <v>159</v>
      </c>
      <c r="B68" s="3" t="s">
        <v>160</v>
      </c>
      <c r="C68" s="3">
        <v>60</v>
      </c>
      <c r="D68" s="3" t="s">
        <v>54</v>
      </c>
      <c r="E68" s="3" t="s">
        <v>26</v>
      </c>
      <c r="F68" s="3">
        <v>734.61</v>
      </c>
      <c r="G68" s="3">
        <v>5</v>
      </c>
      <c r="H68" s="3" t="s">
        <v>22</v>
      </c>
      <c r="I68" s="3">
        <v>6</v>
      </c>
      <c r="J68" s="3">
        <v>3</v>
      </c>
      <c r="K68" s="3" t="s">
        <v>546</v>
      </c>
      <c r="L68" s="3" t="s">
        <v>545</v>
      </c>
      <c r="M68" s="3" t="s">
        <v>544</v>
      </c>
      <c r="N68" s="3">
        <v>0.12</v>
      </c>
      <c r="O68" s="3">
        <v>240000</v>
      </c>
      <c r="P68" s="3">
        <v>31</v>
      </c>
      <c r="Q68" s="3">
        <v>14</v>
      </c>
      <c r="R68" s="3">
        <v>30</v>
      </c>
    </row>
    <row r="69" spans="1:18" x14ac:dyDescent="0.25">
      <c r="A69" s="3" t="s">
        <v>161</v>
      </c>
      <c r="B69" s="3" t="s">
        <v>162</v>
      </c>
      <c r="C69" s="3">
        <v>44</v>
      </c>
      <c r="D69" s="3" t="s">
        <v>25</v>
      </c>
      <c r="E69" s="3" t="s">
        <v>35</v>
      </c>
      <c r="F69" s="3">
        <v>1752.95</v>
      </c>
      <c r="G69" s="3">
        <v>2</v>
      </c>
      <c r="H69" s="3" t="s">
        <v>31</v>
      </c>
      <c r="I69" s="3">
        <v>3</v>
      </c>
      <c r="J69" s="3">
        <v>3</v>
      </c>
      <c r="K69" s="3" t="s">
        <v>546</v>
      </c>
      <c r="L69" s="3" t="s">
        <v>549</v>
      </c>
      <c r="M69" s="3" t="s">
        <v>548</v>
      </c>
      <c r="N69" s="3">
        <v>0.18</v>
      </c>
      <c r="O69" s="3">
        <v>450000</v>
      </c>
      <c r="P69" s="3">
        <v>50</v>
      </c>
      <c r="Q69" s="3">
        <v>15</v>
      </c>
      <c r="R69" s="3">
        <v>50</v>
      </c>
    </row>
    <row r="70" spans="1:18" x14ac:dyDescent="0.25">
      <c r="A70" s="3" t="s">
        <v>163</v>
      </c>
      <c r="B70" s="3" t="s">
        <v>164</v>
      </c>
      <c r="C70" s="3">
        <v>41</v>
      </c>
      <c r="D70" s="3" t="s">
        <v>20</v>
      </c>
      <c r="E70" s="3" t="s">
        <v>48</v>
      </c>
      <c r="F70" s="3">
        <v>4323.3599999999997</v>
      </c>
      <c r="G70" s="3">
        <v>4</v>
      </c>
      <c r="H70" s="3" t="s">
        <v>31</v>
      </c>
      <c r="I70" s="3">
        <v>5</v>
      </c>
      <c r="J70" s="3">
        <v>1</v>
      </c>
      <c r="K70" s="3" t="s">
        <v>546</v>
      </c>
      <c r="L70" s="3" t="s">
        <v>551</v>
      </c>
      <c r="M70" s="3" t="s">
        <v>548</v>
      </c>
      <c r="N70" s="3">
        <v>0.05</v>
      </c>
      <c r="O70" s="3">
        <v>400000</v>
      </c>
      <c r="P70" s="3">
        <v>50</v>
      </c>
      <c r="Q70" s="3">
        <v>7</v>
      </c>
      <c r="R70" s="3">
        <v>40</v>
      </c>
    </row>
    <row r="71" spans="1:18" x14ac:dyDescent="0.25">
      <c r="A71" s="3" t="s">
        <v>165</v>
      </c>
      <c r="B71" s="3" t="s">
        <v>166</v>
      </c>
      <c r="C71" s="3">
        <v>33</v>
      </c>
      <c r="D71" s="3" t="s">
        <v>45</v>
      </c>
      <c r="E71" s="3" t="s">
        <v>30</v>
      </c>
      <c r="F71" s="3">
        <v>2300.69</v>
      </c>
      <c r="G71" s="3">
        <v>5</v>
      </c>
      <c r="H71" s="3" t="s">
        <v>22</v>
      </c>
      <c r="I71" s="3">
        <v>4</v>
      </c>
      <c r="J71" s="3">
        <v>5</v>
      </c>
      <c r="K71" s="3" t="s">
        <v>542</v>
      </c>
      <c r="L71" s="3" t="s">
        <v>547</v>
      </c>
      <c r="M71" s="3" t="s">
        <v>544</v>
      </c>
      <c r="N71" s="3">
        <v>0.12</v>
      </c>
      <c r="O71" s="3">
        <v>350000</v>
      </c>
      <c r="P71" s="3">
        <v>31</v>
      </c>
      <c r="Q71" s="3">
        <v>12</v>
      </c>
      <c r="R71" s="3">
        <v>100</v>
      </c>
    </row>
    <row r="72" spans="1:18" x14ac:dyDescent="0.25">
      <c r="A72" s="3" t="s">
        <v>167</v>
      </c>
      <c r="B72" s="3" t="s">
        <v>168</v>
      </c>
      <c r="C72" s="3">
        <v>30</v>
      </c>
      <c r="D72" s="3" t="s">
        <v>29</v>
      </c>
      <c r="E72" s="3" t="s">
        <v>48</v>
      </c>
      <c r="F72" s="3">
        <v>2328.27</v>
      </c>
      <c r="G72" s="3">
        <v>4</v>
      </c>
      <c r="H72" s="3" t="s">
        <v>42</v>
      </c>
      <c r="I72" s="3">
        <v>4</v>
      </c>
      <c r="J72" s="3">
        <v>1</v>
      </c>
      <c r="K72" s="3" t="s">
        <v>546</v>
      </c>
      <c r="L72" s="3" t="s">
        <v>551</v>
      </c>
      <c r="M72" s="3" t="s">
        <v>550</v>
      </c>
      <c r="N72" s="3">
        <v>0.05</v>
      </c>
      <c r="O72" s="3">
        <v>400000</v>
      </c>
      <c r="P72" s="3">
        <v>90</v>
      </c>
      <c r="Q72" s="3">
        <v>7</v>
      </c>
      <c r="R72" s="3">
        <v>40</v>
      </c>
    </row>
    <row r="73" spans="1:18" x14ac:dyDescent="0.25">
      <c r="A73" s="3" t="s">
        <v>169</v>
      </c>
      <c r="B73" s="3" t="s">
        <v>170</v>
      </c>
      <c r="C73" s="3">
        <v>53</v>
      </c>
      <c r="D73" s="3" t="s">
        <v>20</v>
      </c>
      <c r="E73" s="3" t="s">
        <v>35</v>
      </c>
      <c r="F73" s="3">
        <v>338.03</v>
      </c>
      <c r="G73" s="3">
        <v>5</v>
      </c>
      <c r="H73" s="3" t="s">
        <v>22</v>
      </c>
      <c r="I73" s="3">
        <v>8</v>
      </c>
      <c r="J73" s="3">
        <v>1</v>
      </c>
      <c r="K73" s="3" t="s">
        <v>546</v>
      </c>
      <c r="L73" s="3" t="s">
        <v>549</v>
      </c>
      <c r="M73" s="3" t="s">
        <v>544</v>
      </c>
      <c r="N73" s="3">
        <v>0.18</v>
      </c>
      <c r="O73" s="3">
        <v>450000</v>
      </c>
      <c r="P73" s="3">
        <v>31</v>
      </c>
      <c r="Q73" s="3">
        <v>15</v>
      </c>
      <c r="R73" s="3">
        <v>50</v>
      </c>
    </row>
    <row r="74" spans="1:18" x14ac:dyDescent="0.25">
      <c r="A74" s="3" t="s">
        <v>171</v>
      </c>
      <c r="B74" s="3" t="s">
        <v>82</v>
      </c>
      <c r="C74" s="3">
        <v>42</v>
      </c>
      <c r="D74" s="3" t="s">
        <v>25</v>
      </c>
      <c r="E74" s="3" t="s">
        <v>21</v>
      </c>
      <c r="F74" s="3">
        <v>4866.62</v>
      </c>
      <c r="G74" s="3">
        <v>5</v>
      </c>
      <c r="H74" s="3" t="s">
        <v>42</v>
      </c>
      <c r="I74" s="3">
        <v>8</v>
      </c>
      <c r="J74" s="3">
        <v>1</v>
      </c>
      <c r="K74" s="3" t="s">
        <v>546</v>
      </c>
      <c r="L74" s="3" t="s">
        <v>543</v>
      </c>
      <c r="M74" s="3" t="s">
        <v>550</v>
      </c>
      <c r="N74" s="3">
        <v>0.1</v>
      </c>
      <c r="O74" s="3">
        <v>560000</v>
      </c>
      <c r="P74" s="3">
        <v>90</v>
      </c>
      <c r="Q74" s="3">
        <v>13</v>
      </c>
      <c r="R74" s="3">
        <v>60</v>
      </c>
    </row>
    <row r="75" spans="1:18" x14ac:dyDescent="0.25">
      <c r="A75" s="3" t="s">
        <v>172</v>
      </c>
      <c r="B75" s="3" t="s">
        <v>173</v>
      </c>
      <c r="C75" s="3">
        <v>47</v>
      </c>
      <c r="D75" s="3" t="s">
        <v>29</v>
      </c>
      <c r="E75" s="3" t="s">
        <v>21</v>
      </c>
      <c r="F75" s="3">
        <v>4965.4399999999996</v>
      </c>
      <c r="G75" s="3">
        <v>5</v>
      </c>
      <c r="H75" s="3" t="s">
        <v>39</v>
      </c>
      <c r="I75" s="3">
        <v>2</v>
      </c>
      <c r="J75" s="3">
        <v>1</v>
      </c>
      <c r="K75" s="3" t="s">
        <v>546</v>
      </c>
      <c r="L75" s="3" t="s">
        <v>543</v>
      </c>
      <c r="M75" s="3" t="s">
        <v>39</v>
      </c>
      <c r="N75" s="3">
        <v>0.1</v>
      </c>
      <c r="O75" s="3">
        <v>560000</v>
      </c>
      <c r="P75" s="3">
        <v>50</v>
      </c>
      <c r="Q75" s="3">
        <v>13</v>
      </c>
      <c r="R75" s="3">
        <v>60</v>
      </c>
    </row>
    <row r="76" spans="1:18" x14ac:dyDescent="0.25">
      <c r="A76" s="3" t="s">
        <v>174</v>
      </c>
      <c r="B76" s="3" t="s">
        <v>175</v>
      </c>
      <c r="C76" s="3">
        <v>34</v>
      </c>
      <c r="D76" s="3" t="s">
        <v>45</v>
      </c>
      <c r="E76" s="3" t="s">
        <v>30</v>
      </c>
      <c r="F76" s="3">
        <v>2752.84</v>
      </c>
      <c r="G76" s="3">
        <v>1</v>
      </c>
      <c r="H76" s="3" t="s">
        <v>39</v>
      </c>
      <c r="I76" s="3">
        <v>10</v>
      </c>
      <c r="J76" s="3">
        <v>1</v>
      </c>
      <c r="K76" s="3" t="s">
        <v>546</v>
      </c>
      <c r="L76" s="3" t="s">
        <v>547</v>
      </c>
      <c r="M76" s="3" t="s">
        <v>39</v>
      </c>
      <c r="N76" s="3">
        <v>0.12</v>
      </c>
      <c r="O76" s="3">
        <v>350000</v>
      </c>
      <c r="P76" s="3">
        <v>50</v>
      </c>
      <c r="Q76" s="3">
        <v>12</v>
      </c>
      <c r="R76" s="3">
        <v>100</v>
      </c>
    </row>
    <row r="77" spans="1:18" x14ac:dyDescent="0.25">
      <c r="A77" s="3" t="s">
        <v>176</v>
      </c>
      <c r="B77" s="3" t="s">
        <v>177</v>
      </c>
      <c r="C77" s="3">
        <v>41</v>
      </c>
      <c r="D77" s="3" t="s">
        <v>25</v>
      </c>
      <c r="E77" s="3" t="s">
        <v>26</v>
      </c>
      <c r="F77" s="3">
        <v>1748.64</v>
      </c>
      <c r="G77" s="3">
        <v>3</v>
      </c>
      <c r="H77" s="3" t="s">
        <v>36</v>
      </c>
      <c r="I77" s="3">
        <v>6</v>
      </c>
      <c r="J77" s="3">
        <v>3</v>
      </c>
      <c r="K77" s="3" t="s">
        <v>546</v>
      </c>
      <c r="L77" s="3" t="s">
        <v>545</v>
      </c>
      <c r="M77" s="3" t="s">
        <v>11</v>
      </c>
      <c r="N77" s="3">
        <v>0.12</v>
      </c>
      <c r="O77" s="3">
        <v>240000</v>
      </c>
      <c r="P77" s="3">
        <v>80</v>
      </c>
      <c r="Q77" s="3">
        <v>14</v>
      </c>
      <c r="R77" s="3">
        <v>30</v>
      </c>
    </row>
    <row r="78" spans="1:18" x14ac:dyDescent="0.25">
      <c r="A78" s="3" t="s">
        <v>178</v>
      </c>
      <c r="B78" s="3" t="s">
        <v>130</v>
      </c>
      <c r="C78" s="3">
        <v>32</v>
      </c>
      <c r="D78" s="3" t="s">
        <v>45</v>
      </c>
      <c r="E78" s="3" t="s">
        <v>35</v>
      </c>
      <c r="F78" s="3">
        <v>3639.41</v>
      </c>
      <c r="G78" s="3">
        <v>3</v>
      </c>
      <c r="H78" s="3" t="s">
        <v>31</v>
      </c>
      <c r="I78" s="3">
        <v>5</v>
      </c>
      <c r="J78" s="3">
        <v>4</v>
      </c>
      <c r="K78" s="3" t="s">
        <v>542</v>
      </c>
      <c r="L78" s="3" t="s">
        <v>549</v>
      </c>
      <c r="M78" s="3" t="s">
        <v>548</v>
      </c>
      <c r="N78" s="3">
        <v>0.18</v>
      </c>
      <c r="O78" s="3">
        <v>450000</v>
      </c>
      <c r="P78" s="3">
        <v>50</v>
      </c>
      <c r="Q78" s="3">
        <v>15</v>
      </c>
      <c r="R78" s="3">
        <v>50</v>
      </c>
    </row>
    <row r="79" spans="1:18" x14ac:dyDescent="0.25">
      <c r="A79" s="3" t="s">
        <v>179</v>
      </c>
      <c r="B79" s="3" t="s">
        <v>38</v>
      </c>
      <c r="C79" s="3">
        <v>45</v>
      </c>
      <c r="D79" s="3" t="s">
        <v>25</v>
      </c>
      <c r="E79" s="3" t="s">
        <v>26</v>
      </c>
      <c r="F79" s="3">
        <v>1241.46</v>
      </c>
      <c r="G79" s="3">
        <v>5</v>
      </c>
      <c r="H79" s="3" t="s">
        <v>22</v>
      </c>
      <c r="I79" s="3">
        <v>6</v>
      </c>
      <c r="J79" s="3">
        <v>5</v>
      </c>
      <c r="K79" s="3" t="s">
        <v>542</v>
      </c>
      <c r="L79" s="3" t="s">
        <v>545</v>
      </c>
      <c r="M79" s="3" t="s">
        <v>544</v>
      </c>
      <c r="N79" s="3">
        <v>0.12</v>
      </c>
      <c r="O79" s="3">
        <v>240000</v>
      </c>
      <c r="P79" s="3">
        <v>31</v>
      </c>
      <c r="Q79" s="3">
        <v>14</v>
      </c>
      <c r="R79" s="3">
        <v>30</v>
      </c>
    </row>
    <row r="80" spans="1:18" x14ac:dyDescent="0.25">
      <c r="A80" s="3" t="s">
        <v>180</v>
      </c>
      <c r="B80" s="3" t="s">
        <v>181</v>
      </c>
      <c r="C80" s="3">
        <v>26</v>
      </c>
      <c r="D80" s="3" t="s">
        <v>34</v>
      </c>
      <c r="E80" s="3" t="s">
        <v>51</v>
      </c>
      <c r="F80" s="3">
        <v>3999.22</v>
      </c>
      <c r="G80" s="3">
        <v>5</v>
      </c>
      <c r="H80" s="3" t="s">
        <v>22</v>
      </c>
      <c r="I80" s="3">
        <v>3</v>
      </c>
      <c r="J80" s="3">
        <v>3</v>
      </c>
      <c r="K80" s="3" t="s">
        <v>546</v>
      </c>
      <c r="L80" s="3" t="s">
        <v>552</v>
      </c>
      <c r="M80" s="3" t="s">
        <v>544</v>
      </c>
      <c r="N80" s="3">
        <v>0.14000000000000001</v>
      </c>
      <c r="O80" s="3">
        <v>300000</v>
      </c>
      <c r="P80" s="3">
        <v>31</v>
      </c>
      <c r="Q80" s="3">
        <v>12</v>
      </c>
      <c r="R80" s="3">
        <v>70</v>
      </c>
    </row>
    <row r="81" spans="1:18" x14ac:dyDescent="0.25">
      <c r="A81" s="3" t="s">
        <v>182</v>
      </c>
      <c r="B81" s="3" t="s">
        <v>133</v>
      </c>
      <c r="C81" s="3">
        <v>41</v>
      </c>
      <c r="D81" s="3" t="s">
        <v>34</v>
      </c>
      <c r="E81" s="3" t="s">
        <v>35</v>
      </c>
      <c r="F81" s="3">
        <v>4477.59</v>
      </c>
      <c r="G81" s="3">
        <v>3</v>
      </c>
      <c r="H81" s="3" t="s">
        <v>22</v>
      </c>
      <c r="I81" s="3">
        <v>8</v>
      </c>
      <c r="J81" s="3">
        <v>1</v>
      </c>
      <c r="K81" s="3" t="s">
        <v>546</v>
      </c>
      <c r="L81" s="3" t="s">
        <v>549</v>
      </c>
      <c r="M81" s="3" t="s">
        <v>544</v>
      </c>
      <c r="N81" s="3">
        <v>0.18</v>
      </c>
      <c r="O81" s="3">
        <v>450000</v>
      </c>
      <c r="P81" s="3">
        <v>31</v>
      </c>
      <c r="Q81" s="3">
        <v>15</v>
      </c>
      <c r="R81" s="3">
        <v>50</v>
      </c>
    </row>
    <row r="82" spans="1:18" x14ac:dyDescent="0.25">
      <c r="A82" s="3" t="s">
        <v>183</v>
      </c>
      <c r="B82" s="3" t="s">
        <v>184</v>
      </c>
      <c r="C82" s="3">
        <v>23</v>
      </c>
      <c r="D82" s="3" t="s">
        <v>20</v>
      </c>
      <c r="E82" s="3" t="s">
        <v>51</v>
      </c>
      <c r="F82" s="3">
        <v>1310.77</v>
      </c>
      <c r="G82" s="3">
        <v>4</v>
      </c>
      <c r="H82" s="3" t="s">
        <v>39</v>
      </c>
      <c r="I82" s="3">
        <v>6</v>
      </c>
      <c r="J82" s="3">
        <v>1</v>
      </c>
      <c r="K82" s="3" t="s">
        <v>546</v>
      </c>
      <c r="L82" s="3" t="s">
        <v>552</v>
      </c>
      <c r="M82" s="3" t="s">
        <v>39</v>
      </c>
      <c r="N82" s="3">
        <v>0.14000000000000001</v>
      </c>
      <c r="O82" s="3">
        <v>300000</v>
      </c>
      <c r="P82" s="3">
        <v>50</v>
      </c>
      <c r="Q82" s="3">
        <v>12</v>
      </c>
      <c r="R82" s="3">
        <v>70</v>
      </c>
    </row>
    <row r="83" spans="1:18" x14ac:dyDescent="0.25">
      <c r="A83" s="3" t="s">
        <v>185</v>
      </c>
      <c r="B83" s="3" t="s">
        <v>186</v>
      </c>
      <c r="C83" s="3">
        <v>54</v>
      </c>
      <c r="D83" s="3" t="s">
        <v>20</v>
      </c>
      <c r="E83" s="3" t="s">
        <v>51</v>
      </c>
      <c r="F83" s="3">
        <v>4593.43</v>
      </c>
      <c r="G83" s="3">
        <v>3</v>
      </c>
      <c r="H83" s="3" t="s">
        <v>39</v>
      </c>
      <c r="I83" s="3">
        <v>10</v>
      </c>
      <c r="J83" s="3">
        <v>1</v>
      </c>
      <c r="K83" s="3" t="s">
        <v>546</v>
      </c>
      <c r="L83" s="3" t="s">
        <v>552</v>
      </c>
      <c r="M83" s="3" t="s">
        <v>39</v>
      </c>
      <c r="N83" s="3">
        <v>0.14000000000000001</v>
      </c>
      <c r="O83" s="3">
        <v>300000</v>
      </c>
      <c r="P83" s="3">
        <v>50</v>
      </c>
      <c r="Q83" s="3">
        <v>12</v>
      </c>
      <c r="R83" s="3">
        <v>70</v>
      </c>
    </row>
    <row r="84" spans="1:18" x14ac:dyDescent="0.25">
      <c r="A84" s="3" t="s">
        <v>187</v>
      </c>
      <c r="B84" s="3" t="s">
        <v>188</v>
      </c>
      <c r="C84" s="3">
        <v>43</v>
      </c>
      <c r="D84" s="3" t="s">
        <v>25</v>
      </c>
      <c r="E84" s="3" t="s">
        <v>35</v>
      </c>
      <c r="F84" s="3">
        <v>939.16</v>
      </c>
      <c r="G84" s="3">
        <v>2</v>
      </c>
      <c r="H84" s="3" t="s">
        <v>39</v>
      </c>
      <c r="I84" s="3">
        <v>10</v>
      </c>
      <c r="J84" s="3">
        <v>5</v>
      </c>
      <c r="K84" s="3" t="s">
        <v>546</v>
      </c>
      <c r="L84" s="3" t="s">
        <v>549</v>
      </c>
      <c r="M84" s="3" t="s">
        <v>39</v>
      </c>
      <c r="N84" s="3">
        <v>0.18</v>
      </c>
      <c r="O84" s="3">
        <v>450000</v>
      </c>
      <c r="P84" s="3">
        <v>50</v>
      </c>
      <c r="Q84" s="3">
        <v>15</v>
      </c>
      <c r="R84" s="3">
        <v>50</v>
      </c>
    </row>
    <row r="85" spans="1:18" x14ac:dyDescent="0.25">
      <c r="A85" s="3" t="s">
        <v>189</v>
      </c>
      <c r="B85" s="3" t="s">
        <v>113</v>
      </c>
      <c r="C85" s="3">
        <v>39</v>
      </c>
      <c r="D85" s="3" t="s">
        <v>45</v>
      </c>
      <c r="E85" s="3" t="s">
        <v>51</v>
      </c>
      <c r="F85" s="3">
        <v>1245.73</v>
      </c>
      <c r="G85" s="3">
        <v>3</v>
      </c>
      <c r="H85" s="3" t="s">
        <v>31</v>
      </c>
      <c r="I85" s="3">
        <v>8</v>
      </c>
      <c r="J85" s="3">
        <v>2</v>
      </c>
      <c r="K85" s="3" t="s">
        <v>546</v>
      </c>
      <c r="L85" s="3" t="s">
        <v>552</v>
      </c>
      <c r="M85" s="3" t="s">
        <v>548</v>
      </c>
      <c r="N85" s="3">
        <v>0.14000000000000001</v>
      </c>
      <c r="O85" s="3">
        <v>300000</v>
      </c>
      <c r="P85" s="3">
        <v>50</v>
      </c>
      <c r="Q85" s="3">
        <v>12</v>
      </c>
      <c r="R85" s="3">
        <v>70</v>
      </c>
    </row>
    <row r="86" spans="1:18" x14ac:dyDescent="0.25">
      <c r="A86" s="3" t="s">
        <v>190</v>
      </c>
      <c r="B86" s="3" t="s">
        <v>70</v>
      </c>
      <c r="C86" s="3">
        <v>19</v>
      </c>
      <c r="D86" s="3" t="s">
        <v>45</v>
      </c>
      <c r="E86" s="3" t="s">
        <v>26</v>
      </c>
      <c r="F86" s="3">
        <v>1089.02</v>
      </c>
      <c r="G86" s="3">
        <v>4</v>
      </c>
      <c r="H86" s="3" t="s">
        <v>22</v>
      </c>
      <c r="I86" s="3">
        <v>4</v>
      </c>
      <c r="J86" s="3">
        <v>4</v>
      </c>
      <c r="K86" s="3" t="s">
        <v>542</v>
      </c>
      <c r="L86" s="3" t="s">
        <v>545</v>
      </c>
      <c r="M86" s="3" t="s">
        <v>544</v>
      </c>
      <c r="N86" s="3">
        <v>0.12</v>
      </c>
      <c r="O86" s="3">
        <v>240000</v>
      </c>
      <c r="P86" s="3">
        <v>31</v>
      </c>
      <c r="Q86" s="3">
        <v>14</v>
      </c>
      <c r="R86" s="3">
        <v>30</v>
      </c>
    </row>
    <row r="87" spans="1:18" x14ac:dyDescent="0.25">
      <c r="A87" s="3" t="s">
        <v>191</v>
      </c>
      <c r="B87" s="3" t="s">
        <v>192</v>
      </c>
      <c r="C87" s="3">
        <v>21</v>
      </c>
      <c r="D87" s="3" t="s">
        <v>54</v>
      </c>
      <c r="E87" s="3" t="s">
        <v>35</v>
      </c>
      <c r="F87" s="3">
        <v>761.99</v>
      </c>
      <c r="G87" s="3">
        <v>3</v>
      </c>
      <c r="H87" s="3" t="s">
        <v>31</v>
      </c>
      <c r="I87" s="3">
        <v>10</v>
      </c>
      <c r="J87" s="3">
        <v>1</v>
      </c>
      <c r="K87" s="3" t="s">
        <v>546</v>
      </c>
      <c r="L87" s="3" t="s">
        <v>549</v>
      </c>
      <c r="M87" s="3" t="s">
        <v>548</v>
      </c>
      <c r="N87" s="3">
        <v>0.18</v>
      </c>
      <c r="O87" s="3">
        <v>450000</v>
      </c>
      <c r="P87" s="3">
        <v>50</v>
      </c>
      <c r="Q87" s="3">
        <v>15</v>
      </c>
      <c r="R87" s="3">
        <v>50</v>
      </c>
    </row>
    <row r="88" spans="1:18" x14ac:dyDescent="0.25">
      <c r="A88" s="3" t="s">
        <v>193</v>
      </c>
      <c r="B88" s="3" t="s">
        <v>194</v>
      </c>
      <c r="C88" s="3">
        <v>32</v>
      </c>
      <c r="D88" s="3" t="s">
        <v>54</v>
      </c>
      <c r="E88" s="3" t="s">
        <v>51</v>
      </c>
      <c r="F88" s="3">
        <v>930.66</v>
      </c>
      <c r="G88" s="3">
        <v>5</v>
      </c>
      <c r="H88" s="3" t="s">
        <v>42</v>
      </c>
      <c r="I88" s="3">
        <v>7</v>
      </c>
      <c r="J88" s="3">
        <v>5</v>
      </c>
      <c r="K88" s="3" t="s">
        <v>542</v>
      </c>
      <c r="L88" s="3" t="s">
        <v>552</v>
      </c>
      <c r="M88" s="3" t="s">
        <v>550</v>
      </c>
      <c r="N88" s="3">
        <v>0.14000000000000001</v>
      </c>
      <c r="O88" s="3">
        <v>300000</v>
      </c>
      <c r="P88" s="3">
        <v>90</v>
      </c>
      <c r="Q88" s="3">
        <v>12</v>
      </c>
      <c r="R88" s="3">
        <v>70</v>
      </c>
    </row>
    <row r="89" spans="1:18" x14ac:dyDescent="0.25">
      <c r="A89" s="3" t="s">
        <v>195</v>
      </c>
      <c r="B89" s="3" t="s">
        <v>196</v>
      </c>
      <c r="C89" s="3">
        <v>35</v>
      </c>
      <c r="D89" s="3" t="s">
        <v>54</v>
      </c>
      <c r="E89" s="3" t="s">
        <v>21</v>
      </c>
      <c r="F89" s="3">
        <v>697.77</v>
      </c>
      <c r="G89" s="3">
        <v>2</v>
      </c>
      <c r="H89" s="3" t="s">
        <v>31</v>
      </c>
      <c r="I89" s="3">
        <v>9</v>
      </c>
      <c r="J89" s="3">
        <v>4</v>
      </c>
      <c r="K89" s="3" t="s">
        <v>546</v>
      </c>
      <c r="L89" s="3" t="s">
        <v>543</v>
      </c>
      <c r="M89" s="3" t="s">
        <v>548</v>
      </c>
      <c r="N89" s="3">
        <v>0.1</v>
      </c>
      <c r="O89" s="3">
        <v>560000</v>
      </c>
      <c r="P89" s="3">
        <v>50</v>
      </c>
      <c r="Q89" s="3">
        <v>13</v>
      </c>
      <c r="R89" s="3">
        <v>60</v>
      </c>
    </row>
    <row r="90" spans="1:18" x14ac:dyDescent="0.25">
      <c r="A90" s="3" t="s">
        <v>197</v>
      </c>
      <c r="B90" s="3" t="s">
        <v>168</v>
      </c>
      <c r="C90" s="3">
        <v>56</v>
      </c>
      <c r="D90" s="3" t="s">
        <v>20</v>
      </c>
      <c r="E90" s="3" t="s">
        <v>35</v>
      </c>
      <c r="F90" s="3">
        <v>563.03</v>
      </c>
      <c r="G90" s="3">
        <v>1</v>
      </c>
      <c r="H90" s="3" t="s">
        <v>39</v>
      </c>
      <c r="I90" s="3">
        <v>2</v>
      </c>
      <c r="J90" s="3">
        <v>5</v>
      </c>
      <c r="K90" s="3" t="s">
        <v>546</v>
      </c>
      <c r="L90" s="3" t="s">
        <v>549</v>
      </c>
      <c r="M90" s="3" t="s">
        <v>39</v>
      </c>
      <c r="N90" s="3">
        <v>0.18</v>
      </c>
      <c r="O90" s="3">
        <v>450000</v>
      </c>
      <c r="P90" s="3">
        <v>50</v>
      </c>
      <c r="Q90" s="3">
        <v>15</v>
      </c>
      <c r="R90" s="3">
        <v>50</v>
      </c>
    </row>
    <row r="91" spans="1:18" x14ac:dyDescent="0.25">
      <c r="A91" s="3" t="s">
        <v>198</v>
      </c>
      <c r="B91" s="3" t="s">
        <v>103</v>
      </c>
      <c r="C91" s="3">
        <v>42</v>
      </c>
      <c r="D91" s="3" t="s">
        <v>34</v>
      </c>
      <c r="E91" s="3" t="s">
        <v>51</v>
      </c>
      <c r="F91" s="3">
        <v>4394.08</v>
      </c>
      <c r="G91" s="3">
        <v>2</v>
      </c>
      <c r="H91" s="3" t="s">
        <v>31</v>
      </c>
      <c r="I91" s="3">
        <v>8</v>
      </c>
      <c r="J91" s="3">
        <v>1</v>
      </c>
      <c r="K91" s="3" t="s">
        <v>546</v>
      </c>
      <c r="L91" s="3" t="s">
        <v>552</v>
      </c>
      <c r="M91" s="3" t="s">
        <v>548</v>
      </c>
      <c r="N91" s="3">
        <v>0.14000000000000001</v>
      </c>
      <c r="O91" s="3">
        <v>300000</v>
      </c>
      <c r="P91" s="3">
        <v>50</v>
      </c>
      <c r="Q91" s="3">
        <v>12</v>
      </c>
      <c r="R91" s="3">
        <v>70</v>
      </c>
    </row>
    <row r="92" spans="1:18" x14ac:dyDescent="0.25">
      <c r="A92" s="3" t="s">
        <v>199</v>
      </c>
      <c r="B92" s="3" t="s">
        <v>200</v>
      </c>
      <c r="C92" s="3">
        <v>26</v>
      </c>
      <c r="D92" s="3" t="s">
        <v>20</v>
      </c>
      <c r="E92" s="3" t="s">
        <v>48</v>
      </c>
      <c r="F92" s="3">
        <v>2288.6799999999998</v>
      </c>
      <c r="G92" s="3">
        <v>5</v>
      </c>
      <c r="H92" s="3" t="s">
        <v>22</v>
      </c>
      <c r="I92" s="3">
        <v>9</v>
      </c>
      <c r="J92" s="3">
        <v>1</v>
      </c>
      <c r="K92" s="3" t="s">
        <v>546</v>
      </c>
      <c r="L92" s="3" t="s">
        <v>551</v>
      </c>
      <c r="M92" s="3" t="s">
        <v>544</v>
      </c>
      <c r="N92" s="3">
        <v>0.05</v>
      </c>
      <c r="O92" s="3">
        <v>400000</v>
      </c>
      <c r="P92" s="3">
        <v>31</v>
      </c>
      <c r="Q92" s="3">
        <v>7</v>
      </c>
      <c r="R92" s="3">
        <v>40</v>
      </c>
    </row>
    <row r="93" spans="1:18" x14ac:dyDescent="0.25">
      <c r="A93" s="3" t="s">
        <v>201</v>
      </c>
      <c r="B93" s="3" t="s">
        <v>202</v>
      </c>
      <c r="C93" s="3">
        <v>54</v>
      </c>
      <c r="D93" s="3" t="s">
        <v>29</v>
      </c>
      <c r="E93" s="3" t="s">
        <v>51</v>
      </c>
      <c r="F93" s="3">
        <v>467.31</v>
      </c>
      <c r="G93" s="3">
        <v>3</v>
      </c>
      <c r="H93" s="3" t="s">
        <v>42</v>
      </c>
      <c r="I93" s="3">
        <v>9</v>
      </c>
      <c r="J93" s="3">
        <v>1</v>
      </c>
      <c r="K93" s="3" t="s">
        <v>546</v>
      </c>
      <c r="L93" s="3" t="s">
        <v>552</v>
      </c>
      <c r="M93" s="3" t="s">
        <v>550</v>
      </c>
      <c r="N93" s="3">
        <v>0.14000000000000001</v>
      </c>
      <c r="O93" s="3">
        <v>300000</v>
      </c>
      <c r="P93" s="3">
        <v>90</v>
      </c>
      <c r="Q93" s="3">
        <v>12</v>
      </c>
      <c r="R93" s="3">
        <v>70</v>
      </c>
    </row>
    <row r="94" spans="1:18" x14ac:dyDescent="0.25">
      <c r="A94" s="3" t="s">
        <v>203</v>
      </c>
      <c r="B94" s="3" t="s">
        <v>204</v>
      </c>
      <c r="C94" s="3">
        <v>48</v>
      </c>
      <c r="D94" s="3" t="s">
        <v>20</v>
      </c>
      <c r="E94" s="3" t="s">
        <v>35</v>
      </c>
      <c r="F94" s="3">
        <v>1128.29</v>
      </c>
      <c r="G94" s="3">
        <v>5</v>
      </c>
      <c r="H94" s="3" t="s">
        <v>22</v>
      </c>
      <c r="I94" s="3">
        <v>4</v>
      </c>
      <c r="J94" s="3">
        <v>5</v>
      </c>
      <c r="K94" s="3" t="s">
        <v>542</v>
      </c>
      <c r="L94" s="3" t="s">
        <v>549</v>
      </c>
      <c r="M94" s="3" t="s">
        <v>544</v>
      </c>
      <c r="N94" s="3">
        <v>0.18</v>
      </c>
      <c r="O94" s="3">
        <v>450000</v>
      </c>
      <c r="P94" s="3">
        <v>31</v>
      </c>
      <c r="Q94" s="3">
        <v>15</v>
      </c>
      <c r="R94" s="3">
        <v>50</v>
      </c>
    </row>
    <row r="95" spans="1:18" x14ac:dyDescent="0.25">
      <c r="A95" s="3" t="s">
        <v>205</v>
      </c>
      <c r="B95" s="3" t="s">
        <v>162</v>
      </c>
      <c r="C95" s="3">
        <v>46</v>
      </c>
      <c r="D95" s="3" t="s">
        <v>34</v>
      </c>
      <c r="E95" s="3" t="s">
        <v>30</v>
      </c>
      <c r="F95" s="3">
        <v>2779.02</v>
      </c>
      <c r="G95" s="3">
        <v>5</v>
      </c>
      <c r="H95" s="3" t="s">
        <v>22</v>
      </c>
      <c r="I95" s="3">
        <v>3</v>
      </c>
      <c r="J95" s="3">
        <v>2</v>
      </c>
      <c r="K95" s="3" t="s">
        <v>546</v>
      </c>
      <c r="L95" s="3" t="s">
        <v>547</v>
      </c>
      <c r="M95" s="3" t="s">
        <v>544</v>
      </c>
      <c r="N95" s="3">
        <v>0.12</v>
      </c>
      <c r="O95" s="3">
        <v>350000</v>
      </c>
      <c r="P95" s="3">
        <v>31</v>
      </c>
      <c r="Q95" s="3">
        <v>12</v>
      </c>
      <c r="R95" s="3">
        <v>100</v>
      </c>
    </row>
    <row r="96" spans="1:18" x14ac:dyDescent="0.25">
      <c r="A96" s="3" t="s">
        <v>206</v>
      </c>
      <c r="B96" s="3" t="s">
        <v>82</v>
      </c>
      <c r="C96" s="3">
        <v>58</v>
      </c>
      <c r="D96" s="3" t="s">
        <v>54</v>
      </c>
      <c r="E96" s="3" t="s">
        <v>35</v>
      </c>
      <c r="F96" s="3">
        <v>223.55</v>
      </c>
      <c r="G96" s="3">
        <v>3</v>
      </c>
      <c r="H96" s="3" t="s">
        <v>39</v>
      </c>
      <c r="I96" s="3">
        <v>4</v>
      </c>
      <c r="J96" s="3">
        <v>4</v>
      </c>
      <c r="K96" s="3" t="s">
        <v>542</v>
      </c>
      <c r="L96" s="3" t="s">
        <v>549</v>
      </c>
      <c r="M96" s="3" t="s">
        <v>39</v>
      </c>
      <c r="N96" s="3">
        <v>0.18</v>
      </c>
      <c r="O96" s="3">
        <v>450000</v>
      </c>
      <c r="P96" s="3">
        <v>50</v>
      </c>
      <c r="Q96" s="3">
        <v>15</v>
      </c>
      <c r="R96" s="3">
        <v>50</v>
      </c>
    </row>
    <row r="97" spans="1:18" x14ac:dyDescent="0.25">
      <c r="A97" s="3" t="s">
        <v>207</v>
      </c>
      <c r="B97" s="3" t="s">
        <v>208</v>
      </c>
      <c r="C97" s="3">
        <v>56</v>
      </c>
      <c r="D97" s="3" t="s">
        <v>34</v>
      </c>
      <c r="E97" s="3" t="s">
        <v>48</v>
      </c>
      <c r="F97" s="3">
        <v>3205.44</v>
      </c>
      <c r="G97" s="3">
        <v>2</v>
      </c>
      <c r="H97" s="3" t="s">
        <v>22</v>
      </c>
      <c r="I97" s="3">
        <v>3</v>
      </c>
      <c r="J97" s="3">
        <v>4</v>
      </c>
      <c r="K97" s="3" t="s">
        <v>546</v>
      </c>
      <c r="L97" s="3" t="s">
        <v>551</v>
      </c>
      <c r="M97" s="3" t="s">
        <v>544</v>
      </c>
      <c r="N97" s="3">
        <v>0.05</v>
      </c>
      <c r="O97" s="3">
        <v>400000</v>
      </c>
      <c r="P97" s="3">
        <v>31</v>
      </c>
      <c r="Q97" s="3">
        <v>7</v>
      </c>
      <c r="R97" s="3">
        <v>40</v>
      </c>
    </row>
    <row r="98" spans="1:18" x14ac:dyDescent="0.25">
      <c r="A98" s="3" t="s">
        <v>209</v>
      </c>
      <c r="B98" s="3" t="s">
        <v>210</v>
      </c>
      <c r="C98" s="3">
        <v>22</v>
      </c>
      <c r="D98" s="3" t="s">
        <v>20</v>
      </c>
      <c r="E98" s="3" t="s">
        <v>51</v>
      </c>
      <c r="F98" s="3">
        <v>2519.0500000000002</v>
      </c>
      <c r="G98" s="3">
        <v>3</v>
      </c>
      <c r="H98" s="3" t="s">
        <v>39</v>
      </c>
      <c r="I98" s="3">
        <v>6</v>
      </c>
      <c r="J98" s="3">
        <v>3</v>
      </c>
      <c r="K98" s="3" t="s">
        <v>546</v>
      </c>
      <c r="L98" s="3" t="s">
        <v>552</v>
      </c>
      <c r="M98" s="3" t="s">
        <v>39</v>
      </c>
      <c r="N98" s="3">
        <v>0.14000000000000001</v>
      </c>
      <c r="O98" s="3">
        <v>300000</v>
      </c>
      <c r="P98" s="3">
        <v>50</v>
      </c>
      <c r="Q98" s="3">
        <v>12</v>
      </c>
      <c r="R98" s="3">
        <v>70</v>
      </c>
    </row>
    <row r="99" spans="1:18" x14ac:dyDescent="0.25">
      <c r="A99" s="3" t="s">
        <v>211</v>
      </c>
      <c r="B99" s="3" t="s">
        <v>24</v>
      </c>
      <c r="C99" s="3">
        <v>39</v>
      </c>
      <c r="D99" s="3" t="s">
        <v>54</v>
      </c>
      <c r="E99" s="3" t="s">
        <v>26</v>
      </c>
      <c r="F99" s="3">
        <v>3993.68</v>
      </c>
      <c r="G99" s="3">
        <v>5</v>
      </c>
      <c r="H99" s="3" t="s">
        <v>39</v>
      </c>
      <c r="I99" s="3">
        <v>7</v>
      </c>
      <c r="J99" s="3">
        <v>5</v>
      </c>
      <c r="K99" s="3" t="s">
        <v>542</v>
      </c>
      <c r="L99" s="3" t="s">
        <v>545</v>
      </c>
      <c r="M99" s="3" t="s">
        <v>39</v>
      </c>
      <c r="N99" s="3">
        <v>0.12</v>
      </c>
      <c r="O99" s="3">
        <v>240000</v>
      </c>
      <c r="P99" s="3">
        <v>50</v>
      </c>
      <c r="Q99" s="3">
        <v>14</v>
      </c>
      <c r="R99" s="3">
        <v>30</v>
      </c>
    </row>
    <row r="100" spans="1:18" x14ac:dyDescent="0.25">
      <c r="A100" s="3" t="s">
        <v>212</v>
      </c>
      <c r="B100" s="3" t="s">
        <v>208</v>
      </c>
      <c r="C100" s="3">
        <v>42</v>
      </c>
      <c r="D100" s="3" t="s">
        <v>34</v>
      </c>
      <c r="E100" s="3" t="s">
        <v>51</v>
      </c>
      <c r="F100" s="3">
        <v>1953.4</v>
      </c>
      <c r="G100" s="3">
        <v>2</v>
      </c>
      <c r="H100" s="3" t="s">
        <v>42</v>
      </c>
      <c r="I100" s="3">
        <v>2</v>
      </c>
      <c r="J100" s="3">
        <v>1</v>
      </c>
      <c r="K100" s="3" t="s">
        <v>546</v>
      </c>
      <c r="L100" s="3" t="s">
        <v>552</v>
      </c>
      <c r="M100" s="3" t="s">
        <v>550</v>
      </c>
      <c r="N100" s="3">
        <v>0.14000000000000001</v>
      </c>
      <c r="O100" s="3">
        <v>300000</v>
      </c>
      <c r="P100" s="3">
        <v>90</v>
      </c>
      <c r="Q100" s="3">
        <v>12</v>
      </c>
      <c r="R100" s="3">
        <v>70</v>
      </c>
    </row>
    <row r="101" spans="1:18" x14ac:dyDescent="0.25">
      <c r="A101" s="3" t="s">
        <v>213</v>
      </c>
      <c r="B101" s="3" t="s">
        <v>214</v>
      </c>
      <c r="C101" s="3">
        <v>59</v>
      </c>
      <c r="D101" s="3" t="s">
        <v>34</v>
      </c>
      <c r="E101" s="3" t="s">
        <v>21</v>
      </c>
      <c r="F101" s="3">
        <v>1076.5</v>
      </c>
      <c r="G101" s="3">
        <v>5</v>
      </c>
      <c r="H101" s="3" t="s">
        <v>42</v>
      </c>
      <c r="I101" s="3">
        <v>5</v>
      </c>
      <c r="J101" s="3">
        <v>4</v>
      </c>
      <c r="K101" s="3" t="s">
        <v>542</v>
      </c>
      <c r="L101" s="3" t="s">
        <v>543</v>
      </c>
      <c r="M101" s="3" t="s">
        <v>550</v>
      </c>
      <c r="N101" s="3">
        <v>0.1</v>
      </c>
      <c r="O101" s="3">
        <v>560000</v>
      </c>
      <c r="P101" s="3">
        <v>90</v>
      </c>
      <c r="Q101" s="3">
        <v>13</v>
      </c>
      <c r="R101" s="3">
        <v>60</v>
      </c>
    </row>
    <row r="102" spans="1:18" x14ac:dyDescent="0.25">
      <c r="A102" s="3" t="s">
        <v>215</v>
      </c>
      <c r="B102" s="3" t="s">
        <v>216</v>
      </c>
      <c r="C102" s="3">
        <v>22</v>
      </c>
      <c r="D102" s="3" t="s">
        <v>29</v>
      </c>
      <c r="E102" s="3" t="s">
        <v>48</v>
      </c>
      <c r="F102" s="3">
        <v>660.06</v>
      </c>
      <c r="G102" s="3">
        <v>4</v>
      </c>
      <c r="H102" s="3" t="s">
        <v>36</v>
      </c>
      <c r="I102" s="3">
        <v>4</v>
      </c>
      <c r="J102" s="3">
        <v>3</v>
      </c>
      <c r="K102" s="3" t="s">
        <v>546</v>
      </c>
      <c r="L102" s="3" t="s">
        <v>551</v>
      </c>
      <c r="M102" s="3" t="s">
        <v>11</v>
      </c>
      <c r="N102" s="3">
        <v>0.05</v>
      </c>
      <c r="O102" s="3">
        <v>400000</v>
      </c>
      <c r="P102" s="3">
        <v>80</v>
      </c>
      <c r="Q102" s="3">
        <v>7</v>
      </c>
      <c r="R102" s="3">
        <v>40</v>
      </c>
    </row>
    <row r="103" spans="1:18" x14ac:dyDescent="0.25">
      <c r="A103" s="3" t="s">
        <v>217</v>
      </c>
      <c r="B103" s="3" t="s">
        <v>218</v>
      </c>
      <c r="C103" s="3">
        <v>38</v>
      </c>
      <c r="D103" s="3" t="s">
        <v>29</v>
      </c>
      <c r="E103" s="3" t="s">
        <v>21</v>
      </c>
      <c r="F103" s="3">
        <v>1003.94</v>
      </c>
      <c r="G103" s="3">
        <v>4</v>
      </c>
      <c r="H103" s="3" t="s">
        <v>31</v>
      </c>
      <c r="I103" s="3">
        <v>4</v>
      </c>
      <c r="J103" s="3">
        <v>1</v>
      </c>
      <c r="K103" s="3" t="s">
        <v>546</v>
      </c>
      <c r="L103" s="3" t="s">
        <v>543</v>
      </c>
      <c r="M103" s="3" t="s">
        <v>548</v>
      </c>
      <c r="N103" s="3">
        <v>0.1</v>
      </c>
      <c r="O103" s="3">
        <v>560000</v>
      </c>
      <c r="P103" s="3">
        <v>50</v>
      </c>
      <c r="Q103" s="3">
        <v>13</v>
      </c>
      <c r="R103" s="3">
        <v>60</v>
      </c>
    </row>
    <row r="104" spans="1:18" x14ac:dyDescent="0.25">
      <c r="A104" s="3" t="s">
        <v>219</v>
      </c>
      <c r="B104" s="3" t="s">
        <v>158</v>
      </c>
      <c r="C104" s="3">
        <v>26</v>
      </c>
      <c r="D104" s="3" t="s">
        <v>29</v>
      </c>
      <c r="E104" s="3" t="s">
        <v>26</v>
      </c>
      <c r="F104" s="3">
        <v>1644.91</v>
      </c>
      <c r="G104" s="3">
        <v>4</v>
      </c>
      <c r="H104" s="3" t="s">
        <v>36</v>
      </c>
      <c r="I104" s="3">
        <v>1</v>
      </c>
      <c r="J104" s="3">
        <v>5</v>
      </c>
      <c r="K104" s="3" t="s">
        <v>542</v>
      </c>
      <c r="L104" s="3" t="s">
        <v>545</v>
      </c>
      <c r="M104" s="3" t="s">
        <v>11</v>
      </c>
      <c r="N104" s="3">
        <v>0.12</v>
      </c>
      <c r="O104" s="3">
        <v>240000</v>
      </c>
      <c r="P104" s="3">
        <v>80</v>
      </c>
      <c r="Q104" s="3">
        <v>14</v>
      </c>
      <c r="R104" s="3">
        <v>30</v>
      </c>
    </row>
    <row r="105" spans="1:18" x14ac:dyDescent="0.25">
      <c r="A105" s="3" t="s">
        <v>220</v>
      </c>
      <c r="B105" s="3" t="s">
        <v>194</v>
      </c>
      <c r="C105" s="3">
        <v>24</v>
      </c>
      <c r="D105" s="3" t="s">
        <v>29</v>
      </c>
      <c r="E105" s="3" t="s">
        <v>35</v>
      </c>
      <c r="F105" s="3">
        <v>1681.01</v>
      </c>
      <c r="G105" s="3">
        <v>2</v>
      </c>
      <c r="H105" s="3" t="s">
        <v>31</v>
      </c>
      <c r="I105" s="3">
        <v>7</v>
      </c>
      <c r="J105" s="3">
        <v>1</v>
      </c>
      <c r="K105" s="3" t="s">
        <v>546</v>
      </c>
      <c r="L105" s="3" t="s">
        <v>549</v>
      </c>
      <c r="M105" s="3" t="s">
        <v>548</v>
      </c>
      <c r="N105" s="3">
        <v>0.18</v>
      </c>
      <c r="O105" s="3">
        <v>450000</v>
      </c>
      <c r="P105" s="3">
        <v>50</v>
      </c>
      <c r="Q105" s="3">
        <v>15</v>
      </c>
      <c r="R105" s="3">
        <v>50</v>
      </c>
    </row>
    <row r="106" spans="1:18" x14ac:dyDescent="0.25">
      <c r="A106" s="3" t="s">
        <v>221</v>
      </c>
      <c r="B106" s="3" t="s">
        <v>222</v>
      </c>
      <c r="C106" s="3">
        <v>27</v>
      </c>
      <c r="D106" s="3" t="s">
        <v>20</v>
      </c>
      <c r="E106" s="3" t="s">
        <v>48</v>
      </c>
      <c r="F106" s="3">
        <v>4363.79</v>
      </c>
      <c r="G106" s="3">
        <v>3</v>
      </c>
      <c r="H106" s="3" t="s">
        <v>42</v>
      </c>
      <c r="I106" s="3">
        <v>6</v>
      </c>
      <c r="J106" s="3">
        <v>4</v>
      </c>
      <c r="K106" s="3" t="s">
        <v>542</v>
      </c>
      <c r="L106" s="3" t="s">
        <v>551</v>
      </c>
      <c r="M106" s="3" t="s">
        <v>550</v>
      </c>
      <c r="N106" s="3">
        <v>0.05</v>
      </c>
      <c r="O106" s="3">
        <v>400000</v>
      </c>
      <c r="P106" s="3">
        <v>90</v>
      </c>
      <c r="Q106" s="3">
        <v>7</v>
      </c>
      <c r="R106" s="3">
        <v>40</v>
      </c>
    </row>
    <row r="107" spans="1:18" x14ac:dyDescent="0.25">
      <c r="A107" s="3" t="s">
        <v>223</v>
      </c>
      <c r="B107" s="3" t="s">
        <v>224</v>
      </c>
      <c r="C107" s="3">
        <v>39</v>
      </c>
      <c r="D107" s="3" t="s">
        <v>20</v>
      </c>
      <c r="E107" s="3" t="s">
        <v>21</v>
      </c>
      <c r="F107" s="3">
        <v>4280.6400000000003</v>
      </c>
      <c r="G107" s="3">
        <v>2</v>
      </c>
      <c r="H107" s="3" t="s">
        <v>22</v>
      </c>
      <c r="I107" s="3">
        <v>10</v>
      </c>
      <c r="J107" s="3">
        <v>4</v>
      </c>
      <c r="K107" s="3" t="s">
        <v>546</v>
      </c>
      <c r="L107" s="3" t="s">
        <v>543</v>
      </c>
      <c r="M107" s="3" t="s">
        <v>544</v>
      </c>
      <c r="N107" s="3">
        <v>0.1</v>
      </c>
      <c r="O107" s="3">
        <v>560000</v>
      </c>
      <c r="P107" s="3">
        <v>31</v>
      </c>
      <c r="Q107" s="3">
        <v>13</v>
      </c>
      <c r="R107" s="3">
        <v>60</v>
      </c>
    </row>
    <row r="108" spans="1:18" x14ac:dyDescent="0.25">
      <c r="A108" s="3" t="s">
        <v>225</v>
      </c>
      <c r="B108" s="3" t="s">
        <v>226</v>
      </c>
      <c r="C108" s="3">
        <v>39</v>
      </c>
      <c r="D108" s="3" t="s">
        <v>54</v>
      </c>
      <c r="E108" s="3" t="s">
        <v>51</v>
      </c>
      <c r="F108" s="3">
        <v>4309.3500000000004</v>
      </c>
      <c r="G108" s="3">
        <v>3</v>
      </c>
      <c r="H108" s="3" t="s">
        <v>36</v>
      </c>
      <c r="I108" s="3">
        <v>10</v>
      </c>
      <c r="J108" s="3">
        <v>5</v>
      </c>
      <c r="K108" s="3" t="s">
        <v>542</v>
      </c>
      <c r="L108" s="3" t="s">
        <v>552</v>
      </c>
      <c r="M108" s="3" t="s">
        <v>11</v>
      </c>
      <c r="N108" s="3">
        <v>0.14000000000000001</v>
      </c>
      <c r="O108" s="3">
        <v>300000</v>
      </c>
      <c r="P108" s="3">
        <v>80</v>
      </c>
      <c r="Q108" s="3">
        <v>12</v>
      </c>
      <c r="R108" s="3">
        <v>70</v>
      </c>
    </row>
    <row r="109" spans="1:18" x14ac:dyDescent="0.25">
      <c r="A109" s="3" t="s">
        <v>227</v>
      </c>
      <c r="B109" s="3" t="s">
        <v>228</v>
      </c>
      <c r="C109" s="3">
        <v>41</v>
      </c>
      <c r="D109" s="3" t="s">
        <v>29</v>
      </c>
      <c r="E109" s="3" t="s">
        <v>26</v>
      </c>
      <c r="F109" s="3">
        <v>3254.64</v>
      </c>
      <c r="G109" s="3">
        <v>2</v>
      </c>
      <c r="H109" s="3" t="s">
        <v>22</v>
      </c>
      <c r="I109" s="3">
        <v>10</v>
      </c>
      <c r="J109" s="3">
        <v>1</v>
      </c>
      <c r="K109" s="3" t="s">
        <v>546</v>
      </c>
      <c r="L109" s="3" t="s">
        <v>545</v>
      </c>
      <c r="M109" s="3" t="s">
        <v>544</v>
      </c>
      <c r="N109" s="3">
        <v>0.12</v>
      </c>
      <c r="O109" s="3">
        <v>240000</v>
      </c>
      <c r="P109" s="3">
        <v>31</v>
      </c>
      <c r="Q109" s="3">
        <v>14</v>
      </c>
      <c r="R109" s="3">
        <v>30</v>
      </c>
    </row>
    <row r="110" spans="1:18" x14ac:dyDescent="0.25">
      <c r="A110" s="3" t="s">
        <v>229</v>
      </c>
      <c r="B110" s="3" t="s">
        <v>177</v>
      </c>
      <c r="C110" s="3">
        <v>32</v>
      </c>
      <c r="D110" s="3" t="s">
        <v>34</v>
      </c>
      <c r="E110" s="3" t="s">
        <v>30</v>
      </c>
      <c r="F110" s="3">
        <v>4801.18</v>
      </c>
      <c r="G110" s="3">
        <v>5</v>
      </c>
      <c r="H110" s="3" t="s">
        <v>22</v>
      </c>
      <c r="I110" s="3">
        <v>2</v>
      </c>
      <c r="J110" s="3">
        <v>3</v>
      </c>
      <c r="K110" s="3" t="s">
        <v>546</v>
      </c>
      <c r="L110" s="3" t="s">
        <v>547</v>
      </c>
      <c r="M110" s="3" t="s">
        <v>544</v>
      </c>
      <c r="N110" s="3">
        <v>0.12</v>
      </c>
      <c r="O110" s="3">
        <v>350000</v>
      </c>
      <c r="P110" s="3">
        <v>31</v>
      </c>
      <c r="Q110" s="3">
        <v>12</v>
      </c>
      <c r="R110" s="3">
        <v>100</v>
      </c>
    </row>
    <row r="111" spans="1:18" x14ac:dyDescent="0.25">
      <c r="A111" s="3" t="s">
        <v>230</v>
      </c>
      <c r="B111" s="3" t="s">
        <v>231</v>
      </c>
      <c r="C111" s="3">
        <v>57</v>
      </c>
      <c r="D111" s="3" t="s">
        <v>20</v>
      </c>
      <c r="E111" s="3" t="s">
        <v>21</v>
      </c>
      <c r="F111" s="3">
        <v>3086.28</v>
      </c>
      <c r="G111" s="3">
        <v>4</v>
      </c>
      <c r="H111" s="3" t="s">
        <v>39</v>
      </c>
      <c r="I111" s="3">
        <v>4</v>
      </c>
      <c r="J111" s="3">
        <v>1</v>
      </c>
      <c r="K111" s="3" t="s">
        <v>546</v>
      </c>
      <c r="L111" s="3" t="s">
        <v>543</v>
      </c>
      <c r="M111" s="3" t="s">
        <v>39</v>
      </c>
      <c r="N111" s="3">
        <v>0.1</v>
      </c>
      <c r="O111" s="3">
        <v>560000</v>
      </c>
      <c r="P111" s="3">
        <v>50</v>
      </c>
      <c r="Q111" s="3">
        <v>13</v>
      </c>
      <c r="R111" s="3">
        <v>60</v>
      </c>
    </row>
    <row r="112" spans="1:18" x14ac:dyDescent="0.25">
      <c r="A112" s="3" t="s">
        <v>232</v>
      </c>
      <c r="B112" s="3" t="s">
        <v>233</v>
      </c>
      <c r="C112" s="3">
        <v>19</v>
      </c>
      <c r="D112" s="3" t="s">
        <v>20</v>
      </c>
      <c r="E112" s="3" t="s">
        <v>21</v>
      </c>
      <c r="F112" s="3">
        <v>2438.4699999999998</v>
      </c>
      <c r="G112" s="3">
        <v>5</v>
      </c>
      <c r="H112" s="3" t="s">
        <v>36</v>
      </c>
      <c r="I112" s="3">
        <v>7</v>
      </c>
      <c r="J112" s="3">
        <v>1</v>
      </c>
      <c r="K112" s="3" t="s">
        <v>546</v>
      </c>
      <c r="L112" s="3" t="s">
        <v>543</v>
      </c>
      <c r="M112" s="3" t="s">
        <v>11</v>
      </c>
      <c r="N112" s="3">
        <v>0.1</v>
      </c>
      <c r="O112" s="3">
        <v>560000</v>
      </c>
      <c r="P112" s="3">
        <v>80</v>
      </c>
      <c r="Q112" s="3">
        <v>13</v>
      </c>
      <c r="R112" s="3">
        <v>60</v>
      </c>
    </row>
    <row r="113" spans="1:18" x14ac:dyDescent="0.25">
      <c r="A113" s="3" t="s">
        <v>234</v>
      </c>
      <c r="B113" s="3" t="s">
        <v>235</v>
      </c>
      <c r="C113" s="3">
        <v>38</v>
      </c>
      <c r="D113" s="3" t="s">
        <v>54</v>
      </c>
      <c r="E113" s="3" t="s">
        <v>51</v>
      </c>
      <c r="F113" s="3">
        <v>4165.24</v>
      </c>
      <c r="G113" s="3">
        <v>2</v>
      </c>
      <c r="H113" s="3" t="s">
        <v>42</v>
      </c>
      <c r="I113" s="3">
        <v>9</v>
      </c>
      <c r="J113" s="3">
        <v>1</v>
      </c>
      <c r="K113" s="3" t="s">
        <v>546</v>
      </c>
      <c r="L113" s="3" t="s">
        <v>552</v>
      </c>
      <c r="M113" s="3" t="s">
        <v>550</v>
      </c>
      <c r="N113" s="3">
        <v>0.14000000000000001</v>
      </c>
      <c r="O113" s="3">
        <v>300000</v>
      </c>
      <c r="P113" s="3">
        <v>90</v>
      </c>
      <c r="Q113" s="3">
        <v>12</v>
      </c>
      <c r="R113" s="3">
        <v>70</v>
      </c>
    </row>
    <row r="114" spans="1:18" x14ac:dyDescent="0.25">
      <c r="A114" s="3" t="s">
        <v>236</v>
      </c>
      <c r="B114" s="3" t="s">
        <v>237</v>
      </c>
      <c r="C114" s="3">
        <v>40</v>
      </c>
      <c r="D114" s="3" t="s">
        <v>20</v>
      </c>
      <c r="E114" s="3" t="s">
        <v>30</v>
      </c>
      <c r="F114" s="3">
        <v>3067.88</v>
      </c>
      <c r="G114" s="3">
        <v>5</v>
      </c>
      <c r="H114" s="3" t="s">
        <v>39</v>
      </c>
      <c r="I114" s="3">
        <v>5</v>
      </c>
      <c r="J114" s="3">
        <v>2</v>
      </c>
      <c r="K114" s="3" t="s">
        <v>546</v>
      </c>
      <c r="L114" s="3" t="s">
        <v>547</v>
      </c>
      <c r="M114" s="3" t="s">
        <v>39</v>
      </c>
      <c r="N114" s="3">
        <v>0.12</v>
      </c>
      <c r="O114" s="3">
        <v>350000</v>
      </c>
      <c r="P114" s="3">
        <v>50</v>
      </c>
      <c r="Q114" s="3">
        <v>12</v>
      </c>
      <c r="R114" s="3">
        <v>100</v>
      </c>
    </row>
    <row r="115" spans="1:18" x14ac:dyDescent="0.25">
      <c r="A115" s="3" t="s">
        <v>238</v>
      </c>
      <c r="B115" s="3" t="s">
        <v>239</v>
      </c>
      <c r="C115" s="3">
        <v>38</v>
      </c>
      <c r="D115" s="3" t="s">
        <v>34</v>
      </c>
      <c r="E115" s="3" t="s">
        <v>26</v>
      </c>
      <c r="F115" s="3">
        <v>3293.68</v>
      </c>
      <c r="G115" s="3">
        <v>2</v>
      </c>
      <c r="H115" s="3" t="s">
        <v>31</v>
      </c>
      <c r="I115" s="3">
        <v>6</v>
      </c>
      <c r="J115" s="3">
        <v>3</v>
      </c>
      <c r="K115" s="3" t="s">
        <v>546</v>
      </c>
      <c r="L115" s="3" t="s">
        <v>545</v>
      </c>
      <c r="M115" s="3" t="s">
        <v>548</v>
      </c>
      <c r="N115" s="3">
        <v>0.12</v>
      </c>
      <c r="O115" s="3">
        <v>240000</v>
      </c>
      <c r="P115" s="3">
        <v>50</v>
      </c>
      <c r="Q115" s="3">
        <v>14</v>
      </c>
      <c r="R115" s="3">
        <v>30</v>
      </c>
    </row>
    <row r="116" spans="1:18" x14ac:dyDescent="0.25">
      <c r="A116" s="3" t="s">
        <v>240</v>
      </c>
      <c r="B116" s="3" t="s">
        <v>241</v>
      </c>
      <c r="C116" s="3">
        <v>35</v>
      </c>
      <c r="D116" s="3" t="s">
        <v>45</v>
      </c>
      <c r="E116" s="3" t="s">
        <v>30</v>
      </c>
      <c r="F116" s="3">
        <v>4325.24</v>
      </c>
      <c r="G116" s="3">
        <v>1</v>
      </c>
      <c r="H116" s="3" t="s">
        <v>42</v>
      </c>
      <c r="I116" s="3">
        <v>5</v>
      </c>
      <c r="J116" s="3">
        <v>1</v>
      </c>
      <c r="K116" s="3" t="s">
        <v>546</v>
      </c>
      <c r="L116" s="3" t="s">
        <v>547</v>
      </c>
      <c r="M116" s="3" t="s">
        <v>550</v>
      </c>
      <c r="N116" s="3">
        <v>0.12</v>
      </c>
      <c r="O116" s="3">
        <v>350000</v>
      </c>
      <c r="P116" s="3">
        <v>90</v>
      </c>
      <c r="Q116" s="3">
        <v>12</v>
      </c>
      <c r="R116" s="3">
        <v>100</v>
      </c>
    </row>
    <row r="117" spans="1:18" x14ac:dyDescent="0.25">
      <c r="A117" s="3" t="s">
        <v>242</v>
      </c>
      <c r="B117" s="3" t="s">
        <v>243</v>
      </c>
      <c r="C117" s="3">
        <v>37</v>
      </c>
      <c r="D117" s="3" t="s">
        <v>20</v>
      </c>
      <c r="E117" s="3" t="s">
        <v>26</v>
      </c>
      <c r="F117" s="3">
        <v>3155.77</v>
      </c>
      <c r="G117" s="3">
        <v>3</v>
      </c>
      <c r="H117" s="3" t="s">
        <v>42</v>
      </c>
      <c r="I117" s="3">
        <v>10</v>
      </c>
      <c r="J117" s="3">
        <v>3</v>
      </c>
      <c r="K117" s="3" t="s">
        <v>546</v>
      </c>
      <c r="L117" s="3" t="s">
        <v>545</v>
      </c>
      <c r="M117" s="3" t="s">
        <v>550</v>
      </c>
      <c r="N117" s="3">
        <v>0.12</v>
      </c>
      <c r="O117" s="3">
        <v>240000</v>
      </c>
      <c r="P117" s="3">
        <v>90</v>
      </c>
      <c r="Q117" s="3">
        <v>14</v>
      </c>
      <c r="R117" s="3">
        <v>30</v>
      </c>
    </row>
    <row r="118" spans="1:18" x14ac:dyDescent="0.25">
      <c r="A118" s="3" t="s">
        <v>244</v>
      </c>
      <c r="B118" s="3" t="s">
        <v>245</v>
      </c>
      <c r="C118" s="3">
        <v>25</v>
      </c>
      <c r="D118" s="3" t="s">
        <v>25</v>
      </c>
      <c r="E118" s="3" t="s">
        <v>26</v>
      </c>
      <c r="F118" s="3">
        <v>2858.86</v>
      </c>
      <c r="G118" s="3">
        <v>2</v>
      </c>
      <c r="H118" s="3" t="s">
        <v>31</v>
      </c>
      <c r="I118" s="3">
        <v>8</v>
      </c>
      <c r="J118" s="3">
        <v>5</v>
      </c>
      <c r="K118" s="3" t="s">
        <v>546</v>
      </c>
      <c r="L118" s="3" t="s">
        <v>545</v>
      </c>
      <c r="M118" s="3" t="s">
        <v>548</v>
      </c>
      <c r="N118" s="3">
        <v>0.12</v>
      </c>
      <c r="O118" s="3">
        <v>240000</v>
      </c>
      <c r="P118" s="3">
        <v>50</v>
      </c>
      <c r="Q118" s="3">
        <v>14</v>
      </c>
      <c r="R118" s="3">
        <v>30</v>
      </c>
    </row>
    <row r="119" spans="1:18" x14ac:dyDescent="0.25">
      <c r="A119" s="3" t="s">
        <v>246</v>
      </c>
      <c r="B119" s="3" t="s">
        <v>247</v>
      </c>
      <c r="C119" s="3">
        <v>35</v>
      </c>
      <c r="D119" s="3" t="s">
        <v>45</v>
      </c>
      <c r="E119" s="3" t="s">
        <v>26</v>
      </c>
      <c r="F119" s="3">
        <v>354.9</v>
      </c>
      <c r="G119" s="3">
        <v>3</v>
      </c>
      <c r="H119" s="3" t="s">
        <v>31</v>
      </c>
      <c r="I119" s="3">
        <v>8</v>
      </c>
      <c r="J119" s="3">
        <v>3</v>
      </c>
      <c r="K119" s="3" t="s">
        <v>546</v>
      </c>
      <c r="L119" s="3" t="s">
        <v>545</v>
      </c>
      <c r="M119" s="3" t="s">
        <v>548</v>
      </c>
      <c r="N119" s="3">
        <v>0.12</v>
      </c>
      <c r="O119" s="3">
        <v>240000</v>
      </c>
      <c r="P119" s="3">
        <v>50</v>
      </c>
      <c r="Q119" s="3">
        <v>14</v>
      </c>
      <c r="R119" s="3">
        <v>30</v>
      </c>
    </row>
    <row r="120" spans="1:18" x14ac:dyDescent="0.25">
      <c r="A120" s="3" t="s">
        <v>248</v>
      </c>
      <c r="B120" s="3" t="s">
        <v>249</v>
      </c>
      <c r="C120" s="3">
        <v>47</v>
      </c>
      <c r="D120" s="3" t="s">
        <v>34</v>
      </c>
      <c r="E120" s="3" t="s">
        <v>48</v>
      </c>
      <c r="F120" s="3">
        <v>2633.62</v>
      </c>
      <c r="G120" s="3">
        <v>3</v>
      </c>
      <c r="H120" s="3" t="s">
        <v>22</v>
      </c>
      <c r="I120" s="3">
        <v>10</v>
      </c>
      <c r="J120" s="3">
        <v>2</v>
      </c>
      <c r="K120" s="3" t="s">
        <v>546</v>
      </c>
      <c r="L120" s="3" t="s">
        <v>551</v>
      </c>
      <c r="M120" s="3" t="s">
        <v>544</v>
      </c>
      <c r="N120" s="3">
        <v>0.05</v>
      </c>
      <c r="O120" s="3">
        <v>400000</v>
      </c>
      <c r="P120" s="3">
        <v>31</v>
      </c>
      <c r="Q120" s="3">
        <v>7</v>
      </c>
      <c r="R120" s="3">
        <v>40</v>
      </c>
    </row>
    <row r="121" spans="1:18" x14ac:dyDescent="0.25">
      <c r="A121" s="3" t="s">
        <v>250</v>
      </c>
      <c r="B121" s="3" t="s">
        <v>251</v>
      </c>
      <c r="C121" s="3">
        <v>34</v>
      </c>
      <c r="D121" s="3" t="s">
        <v>29</v>
      </c>
      <c r="E121" s="3" t="s">
        <v>48</v>
      </c>
      <c r="F121" s="3">
        <v>4157.1499999999996</v>
      </c>
      <c r="G121" s="3">
        <v>1</v>
      </c>
      <c r="H121" s="3" t="s">
        <v>39</v>
      </c>
      <c r="I121" s="3">
        <v>3</v>
      </c>
      <c r="J121" s="3">
        <v>3</v>
      </c>
      <c r="K121" s="3" t="s">
        <v>546</v>
      </c>
      <c r="L121" s="3" t="s">
        <v>551</v>
      </c>
      <c r="M121" s="3" t="s">
        <v>39</v>
      </c>
      <c r="N121" s="3">
        <v>0.05</v>
      </c>
      <c r="O121" s="3">
        <v>400000</v>
      </c>
      <c r="P121" s="3">
        <v>50</v>
      </c>
      <c r="Q121" s="3">
        <v>7</v>
      </c>
      <c r="R121" s="3">
        <v>40</v>
      </c>
    </row>
    <row r="122" spans="1:18" x14ac:dyDescent="0.25">
      <c r="A122" s="3" t="s">
        <v>252</v>
      </c>
      <c r="B122" s="3" t="s">
        <v>253</v>
      </c>
      <c r="C122" s="3">
        <v>47</v>
      </c>
      <c r="D122" s="3" t="s">
        <v>20</v>
      </c>
      <c r="E122" s="3" t="s">
        <v>51</v>
      </c>
      <c r="F122" s="3">
        <v>3859.42</v>
      </c>
      <c r="G122" s="3">
        <v>5</v>
      </c>
      <c r="H122" s="3" t="s">
        <v>22</v>
      </c>
      <c r="I122" s="3">
        <v>9</v>
      </c>
      <c r="J122" s="3">
        <v>4</v>
      </c>
      <c r="K122" s="3" t="s">
        <v>542</v>
      </c>
      <c r="L122" s="3" t="s">
        <v>552</v>
      </c>
      <c r="M122" s="3" t="s">
        <v>544</v>
      </c>
      <c r="N122" s="3">
        <v>0.14000000000000001</v>
      </c>
      <c r="O122" s="3">
        <v>300000</v>
      </c>
      <c r="P122" s="3">
        <v>31</v>
      </c>
      <c r="Q122" s="3">
        <v>12</v>
      </c>
      <c r="R122" s="3">
        <v>70</v>
      </c>
    </row>
    <row r="123" spans="1:18" x14ac:dyDescent="0.25">
      <c r="A123" s="3" t="s">
        <v>254</v>
      </c>
      <c r="B123" s="3" t="s">
        <v>255</v>
      </c>
      <c r="C123" s="3">
        <v>46</v>
      </c>
      <c r="D123" s="3" t="s">
        <v>45</v>
      </c>
      <c r="E123" s="3" t="s">
        <v>48</v>
      </c>
      <c r="F123" s="3">
        <v>1411.82</v>
      </c>
      <c r="G123" s="3">
        <v>1</v>
      </c>
      <c r="H123" s="3" t="s">
        <v>31</v>
      </c>
      <c r="I123" s="3">
        <v>10</v>
      </c>
      <c r="J123" s="3">
        <v>5</v>
      </c>
      <c r="K123" s="3" t="s">
        <v>546</v>
      </c>
      <c r="L123" s="3" t="s">
        <v>551</v>
      </c>
      <c r="M123" s="3" t="s">
        <v>548</v>
      </c>
      <c r="N123" s="3">
        <v>0.05</v>
      </c>
      <c r="O123" s="3">
        <v>400000</v>
      </c>
      <c r="P123" s="3">
        <v>50</v>
      </c>
      <c r="Q123" s="3">
        <v>7</v>
      </c>
      <c r="R123" s="3">
        <v>40</v>
      </c>
    </row>
    <row r="124" spans="1:18" x14ac:dyDescent="0.25">
      <c r="A124" s="3" t="s">
        <v>256</v>
      </c>
      <c r="B124" s="3" t="s">
        <v>257</v>
      </c>
      <c r="C124" s="3">
        <v>51</v>
      </c>
      <c r="D124" s="3" t="s">
        <v>54</v>
      </c>
      <c r="E124" s="3" t="s">
        <v>51</v>
      </c>
      <c r="F124" s="3">
        <v>944.32</v>
      </c>
      <c r="G124" s="3">
        <v>5</v>
      </c>
      <c r="H124" s="3" t="s">
        <v>22</v>
      </c>
      <c r="I124" s="3">
        <v>8</v>
      </c>
      <c r="J124" s="3">
        <v>5</v>
      </c>
      <c r="K124" s="3" t="s">
        <v>542</v>
      </c>
      <c r="L124" s="3" t="s">
        <v>552</v>
      </c>
      <c r="M124" s="3" t="s">
        <v>544</v>
      </c>
      <c r="N124" s="3">
        <v>0.14000000000000001</v>
      </c>
      <c r="O124" s="3">
        <v>300000</v>
      </c>
      <c r="P124" s="3">
        <v>31</v>
      </c>
      <c r="Q124" s="3">
        <v>12</v>
      </c>
      <c r="R124" s="3">
        <v>70</v>
      </c>
    </row>
    <row r="125" spans="1:18" x14ac:dyDescent="0.25">
      <c r="A125" s="3" t="s">
        <v>258</v>
      </c>
      <c r="B125" s="3" t="s">
        <v>259</v>
      </c>
      <c r="C125" s="3">
        <v>45</v>
      </c>
      <c r="D125" s="3" t="s">
        <v>54</v>
      </c>
      <c r="E125" s="3" t="s">
        <v>51</v>
      </c>
      <c r="F125" s="3">
        <v>4282.6899999999996</v>
      </c>
      <c r="G125" s="3">
        <v>5</v>
      </c>
      <c r="H125" s="3" t="s">
        <v>36</v>
      </c>
      <c r="I125" s="3">
        <v>3</v>
      </c>
      <c r="J125" s="3">
        <v>2</v>
      </c>
      <c r="K125" s="3" t="s">
        <v>546</v>
      </c>
      <c r="L125" s="3" t="s">
        <v>552</v>
      </c>
      <c r="M125" s="3" t="s">
        <v>11</v>
      </c>
      <c r="N125" s="3">
        <v>0.14000000000000001</v>
      </c>
      <c r="O125" s="3">
        <v>300000</v>
      </c>
      <c r="P125" s="3">
        <v>80</v>
      </c>
      <c r="Q125" s="3">
        <v>12</v>
      </c>
      <c r="R125" s="3">
        <v>70</v>
      </c>
    </row>
    <row r="126" spans="1:18" x14ac:dyDescent="0.25">
      <c r="A126" s="3" t="s">
        <v>260</v>
      </c>
      <c r="B126" s="3" t="s">
        <v>261</v>
      </c>
      <c r="C126" s="3">
        <v>37</v>
      </c>
      <c r="D126" s="3" t="s">
        <v>20</v>
      </c>
      <c r="E126" s="3" t="s">
        <v>35</v>
      </c>
      <c r="F126" s="3">
        <v>1531.17</v>
      </c>
      <c r="G126" s="3">
        <v>1</v>
      </c>
      <c r="H126" s="3" t="s">
        <v>31</v>
      </c>
      <c r="I126" s="3">
        <v>2</v>
      </c>
      <c r="J126" s="3">
        <v>3</v>
      </c>
      <c r="K126" s="3" t="s">
        <v>546</v>
      </c>
      <c r="L126" s="3" t="s">
        <v>549</v>
      </c>
      <c r="M126" s="3" t="s">
        <v>548</v>
      </c>
      <c r="N126" s="3">
        <v>0.18</v>
      </c>
      <c r="O126" s="3">
        <v>450000</v>
      </c>
      <c r="P126" s="3">
        <v>50</v>
      </c>
      <c r="Q126" s="3">
        <v>15</v>
      </c>
      <c r="R126" s="3">
        <v>50</v>
      </c>
    </row>
    <row r="127" spans="1:18" x14ac:dyDescent="0.25">
      <c r="A127" s="3" t="s">
        <v>262</v>
      </c>
      <c r="B127" s="3" t="s">
        <v>235</v>
      </c>
      <c r="C127" s="3">
        <v>19</v>
      </c>
      <c r="D127" s="3" t="s">
        <v>25</v>
      </c>
      <c r="E127" s="3" t="s">
        <v>30</v>
      </c>
      <c r="F127" s="3">
        <v>4227.53</v>
      </c>
      <c r="G127" s="3">
        <v>1</v>
      </c>
      <c r="H127" s="3" t="s">
        <v>31</v>
      </c>
      <c r="I127" s="3">
        <v>7</v>
      </c>
      <c r="J127" s="3">
        <v>2</v>
      </c>
      <c r="K127" s="3" t="s">
        <v>546</v>
      </c>
      <c r="L127" s="3" t="s">
        <v>547</v>
      </c>
      <c r="M127" s="3" t="s">
        <v>548</v>
      </c>
      <c r="N127" s="3">
        <v>0.12</v>
      </c>
      <c r="O127" s="3">
        <v>350000</v>
      </c>
      <c r="P127" s="3">
        <v>50</v>
      </c>
      <c r="Q127" s="3">
        <v>12</v>
      </c>
      <c r="R127" s="3">
        <v>100</v>
      </c>
    </row>
    <row r="128" spans="1:18" x14ac:dyDescent="0.25">
      <c r="A128" s="3" t="s">
        <v>263</v>
      </c>
      <c r="B128" s="3" t="s">
        <v>253</v>
      </c>
      <c r="C128" s="3">
        <v>23</v>
      </c>
      <c r="D128" s="3" t="s">
        <v>54</v>
      </c>
      <c r="E128" s="3" t="s">
        <v>26</v>
      </c>
      <c r="F128" s="3">
        <v>3514.1</v>
      </c>
      <c r="G128" s="3">
        <v>5</v>
      </c>
      <c r="H128" s="3" t="s">
        <v>31</v>
      </c>
      <c r="I128" s="3">
        <v>2</v>
      </c>
      <c r="J128" s="3">
        <v>1</v>
      </c>
      <c r="K128" s="3" t="s">
        <v>546</v>
      </c>
      <c r="L128" s="3" t="s">
        <v>545</v>
      </c>
      <c r="M128" s="3" t="s">
        <v>548</v>
      </c>
      <c r="N128" s="3">
        <v>0.12</v>
      </c>
      <c r="O128" s="3">
        <v>240000</v>
      </c>
      <c r="P128" s="3">
        <v>50</v>
      </c>
      <c r="Q128" s="3">
        <v>14</v>
      </c>
      <c r="R128" s="3">
        <v>30</v>
      </c>
    </row>
    <row r="129" spans="1:18" x14ac:dyDescent="0.25">
      <c r="A129" s="3" t="s">
        <v>264</v>
      </c>
      <c r="B129" s="3" t="s">
        <v>265</v>
      </c>
      <c r="C129" s="3">
        <v>42</v>
      </c>
      <c r="D129" s="3" t="s">
        <v>34</v>
      </c>
      <c r="E129" s="3" t="s">
        <v>30</v>
      </c>
      <c r="F129" s="3">
        <v>2472.37</v>
      </c>
      <c r="G129" s="3">
        <v>1</v>
      </c>
      <c r="H129" s="3" t="s">
        <v>42</v>
      </c>
      <c r="I129" s="3">
        <v>5</v>
      </c>
      <c r="J129" s="3">
        <v>1</v>
      </c>
      <c r="K129" s="3" t="s">
        <v>546</v>
      </c>
      <c r="L129" s="3" t="s">
        <v>547</v>
      </c>
      <c r="M129" s="3" t="s">
        <v>550</v>
      </c>
      <c r="N129" s="3">
        <v>0.12</v>
      </c>
      <c r="O129" s="3">
        <v>350000</v>
      </c>
      <c r="P129" s="3">
        <v>90</v>
      </c>
      <c r="Q129" s="3">
        <v>12</v>
      </c>
      <c r="R129" s="3">
        <v>100</v>
      </c>
    </row>
    <row r="130" spans="1:18" x14ac:dyDescent="0.25">
      <c r="A130" s="3" t="s">
        <v>266</v>
      </c>
      <c r="B130" s="3" t="s">
        <v>267</v>
      </c>
      <c r="C130" s="3">
        <v>48</v>
      </c>
      <c r="D130" s="3" t="s">
        <v>45</v>
      </c>
      <c r="E130" s="3" t="s">
        <v>35</v>
      </c>
      <c r="F130" s="3">
        <v>1640.68</v>
      </c>
      <c r="G130" s="3">
        <v>3</v>
      </c>
      <c r="H130" s="3" t="s">
        <v>39</v>
      </c>
      <c r="I130" s="3">
        <v>5</v>
      </c>
      <c r="J130" s="3">
        <v>5</v>
      </c>
      <c r="K130" s="3" t="s">
        <v>542</v>
      </c>
      <c r="L130" s="3" t="s">
        <v>549</v>
      </c>
      <c r="M130" s="3" t="s">
        <v>39</v>
      </c>
      <c r="N130" s="3">
        <v>0.18</v>
      </c>
      <c r="O130" s="3">
        <v>450000</v>
      </c>
      <c r="P130" s="3">
        <v>50</v>
      </c>
      <c r="Q130" s="3">
        <v>15</v>
      </c>
      <c r="R130" s="3">
        <v>50</v>
      </c>
    </row>
    <row r="131" spans="1:18" x14ac:dyDescent="0.25">
      <c r="A131" s="3" t="s">
        <v>268</v>
      </c>
      <c r="B131" s="3" t="s">
        <v>269</v>
      </c>
      <c r="C131" s="3">
        <v>34</v>
      </c>
      <c r="D131" s="3" t="s">
        <v>34</v>
      </c>
      <c r="E131" s="3" t="s">
        <v>30</v>
      </c>
      <c r="F131" s="3">
        <v>726.34</v>
      </c>
      <c r="G131" s="3">
        <v>5</v>
      </c>
      <c r="H131" s="3" t="s">
        <v>22</v>
      </c>
      <c r="I131" s="3">
        <v>2</v>
      </c>
      <c r="J131" s="3">
        <v>1</v>
      </c>
      <c r="K131" s="3" t="s">
        <v>546</v>
      </c>
      <c r="L131" s="3" t="s">
        <v>547</v>
      </c>
      <c r="M131" s="3" t="s">
        <v>544</v>
      </c>
      <c r="N131" s="3">
        <v>0.12</v>
      </c>
      <c r="O131" s="3">
        <v>350000</v>
      </c>
      <c r="P131" s="3">
        <v>31</v>
      </c>
      <c r="Q131" s="3">
        <v>12</v>
      </c>
      <c r="R131" s="3">
        <v>100</v>
      </c>
    </row>
    <row r="132" spans="1:18" x14ac:dyDescent="0.25">
      <c r="A132" s="3" t="s">
        <v>270</v>
      </c>
      <c r="B132" s="3" t="s">
        <v>58</v>
      </c>
      <c r="C132" s="3">
        <v>41</v>
      </c>
      <c r="D132" s="3" t="s">
        <v>54</v>
      </c>
      <c r="E132" s="3" t="s">
        <v>48</v>
      </c>
      <c r="F132" s="3">
        <v>4440.17</v>
      </c>
      <c r="G132" s="3">
        <v>3</v>
      </c>
      <c r="H132" s="3" t="s">
        <v>42</v>
      </c>
      <c r="I132" s="3">
        <v>4</v>
      </c>
      <c r="J132" s="3">
        <v>2</v>
      </c>
      <c r="K132" s="3" t="s">
        <v>546</v>
      </c>
      <c r="L132" s="3" t="s">
        <v>551</v>
      </c>
      <c r="M132" s="3" t="s">
        <v>550</v>
      </c>
      <c r="N132" s="3">
        <v>0.05</v>
      </c>
      <c r="O132" s="3">
        <v>400000</v>
      </c>
      <c r="P132" s="3">
        <v>90</v>
      </c>
      <c r="Q132" s="3">
        <v>7</v>
      </c>
      <c r="R132" s="3">
        <v>40</v>
      </c>
    </row>
    <row r="133" spans="1:18" x14ac:dyDescent="0.25">
      <c r="A133" s="3" t="s">
        <v>271</v>
      </c>
      <c r="B133" s="3" t="s">
        <v>150</v>
      </c>
      <c r="C133" s="3">
        <v>57</v>
      </c>
      <c r="D133" s="3" t="s">
        <v>34</v>
      </c>
      <c r="E133" s="3" t="s">
        <v>30</v>
      </c>
      <c r="F133" s="3">
        <v>393.56</v>
      </c>
      <c r="G133" s="3">
        <v>3</v>
      </c>
      <c r="H133" s="3" t="s">
        <v>39</v>
      </c>
      <c r="I133" s="3">
        <v>8</v>
      </c>
      <c r="J133" s="3">
        <v>1</v>
      </c>
      <c r="K133" s="3" t="s">
        <v>546</v>
      </c>
      <c r="L133" s="3" t="s">
        <v>547</v>
      </c>
      <c r="M133" s="3" t="s">
        <v>39</v>
      </c>
      <c r="N133" s="3">
        <v>0.12</v>
      </c>
      <c r="O133" s="3">
        <v>350000</v>
      </c>
      <c r="P133" s="3">
        <v>50</v>
      </c>
      <c r="Q133" s="3">
        <v>12</v>
      </c>
      <c r="R133" s="3">
        <v>100</v>
      </c>
    </row>
    <row r="134" spans="1:18" x14ac:dyDescent="0.25">
      <c r="A134" s="3" t="s">
        <v>272</v>
      </c>
      <c r="B134" s="3" t="s">
        <v>273</v>
      </c>
      <c r="C134" s="3">
        <v>51</v>
      </c>
      <c r="D134" s="3" t="s">
        <v>54</v>
      </c>
      <c r="E134" s="3" t="s">
        <v>30</v>
      </c>
      <c r="F134" s="3">
        <v>2103.09</v>
      </c>
      <c r="G134" s="3">
        <v>1</v>
      </c>
      <c r="H134" s="3" t="s">
        <v>39</v>
      </c>
      <c r="I134" s="3">
        <v>5</v>
      </c>
      <c r="J134" s="3">
        <v>3</v>
      </c>
      <c r="K134" s="3" t="s">
        <v>546</v>
      </c>
      <c r="L134" s="3" t="s">
        <v>547</v>
      </c>
      <c r="M134" s="3" t="s">
        <v>39</v>
      </c>
      <c r="N134" s="3">
        <v>0.12</v>
      </c>
      <c r="O134" s="3">
        <v>350000</v>
      </c>
      <c r="P134" s="3">
        <v>50</v>
      </c>
      <c r="Q134" s="3">
        <v>12</v>
      </c>
      <c r="R134" s="3">
        <v>100</v>
      </c>
    </row>
    <row r="135" spans="1:18" x14ac:dyDescent="0.25">
      <c r="A135" s="3" t="s">
        <v>274</v>
      </c>
      <c r="B135" s="3" t="s">
        <v>243</v>
      </c>
      <c r="C135" s="3">
        <v>41</v>
      </c>
      <c r="D135" s="3" t="s">
        <v>45</v>
      </c>
      <c r="E135" s="3" t="s">
        <v>35</v>
      </c>
      <c r="F135" s="3">
        <v>4054.97</v>
      </c>
      <c r="G135" s="3">
        <v>4</v>
      </c>
      <c r="H135" s="3" t="s">
        <v>39</v>
      </c>
      <c r="I135" s="3">
        <v>2</v>
      </c>
      <c r="J135" s="3">
        <v>3</v>
      </c>
      <c r="K135" s="3" t="s">
        <v>546</v>
      </c>
      <c r="L135" s="3" t="s">
        <v>549</v>
      </c>
      <c r="M135" s="3" t="s">
        <v>39</v>
      </c>
      <c r="N135" s="3">
        <v>0.18</v>
      </c>
      <c r="O135" s="3">
        <v>450000</v>
      </c>
      <c r="P135" s="3">
        <v>50</v>
      </c>
      <c r="Q135" s="3">
        <v>15</v>
      </c>
      <c r="R135" s="3">
        <v>50</v>
      </c>
    </row>
    <row r="136" spans="1:18" x14ac:dyDescent="0.25">
      <c r="A136" s="3" t="s">
        <v>275</v>
      </c>
      <c r="B136" s="3" t="s">
        <v>276</v>
      </c>
      <c r="C136" s="3">
        <v>43</v>
      </c>
      <c r="D136" s="3" t="s">
        <v>54</v>
      </c>
      <c r="E136" s="3" t="s">
        <v>26</v>
      </c>
      <c r="F136" s="3">
        <v>1096.76</v>
      </c>
      <c r="G136" s="3">
        <v>1</v>
      </c>
      <c r="H136" s="3" t="s">
        <v>36</v>
      </c>
      <c r="I136" s="3">
        <v>5</v>
      </c>
      <c r="J136" s="3">
        <v>4</v>
      </c>
      <c r="K136" s="3" t="s">
        <v>546</v>
      </c>
      <c r="L136" s="3" t="s">
        <v>545</v>
      </c>
      <c r="M136" s="3" t="s">
        <v>11</v>
      </c>
      <c r="N136" s="3">
        <v>0.12</v>
      </c>
      <c r="O136" s="3">
        <v>240000</v>
      </c>
      <c r="P136" s="3">
        <v>80</v>
      </c>
      <c r="Q136" s="3">
        <v>14</v>
      </c>
      <c r="R136" s="3">
        <v>30</v>
      </c>
    </row>
    <row r="137" spans="1:18" x14ac:dyDescent="0.25">
      <c r="A137" s="3" t="s">
        <v>277</v>
      </c>
      <c r="B137" s="3" t="s">
        <v>278</v>
      </c>
      <c r="C137" s="3">
        <v>38</v>
      </c>
      <c r="D137" s="3" t="s">
        <v>20</v>
      </c>
      <c r="E137" s="3" t="s">
        <v>48</v>
      </c>
      <c r="F137" s="3">
        <v>3831.59</v>
      </c>
      <c r="G137" s="3">
        <v>3</v>
      </c>
      <c r="H137" s="3" t="s">
        <v>36</v>
      </c>
      <c r="I137" s="3">
        <v>8</v>
      </c>
      <c r="J137" s="3">
        <v>3</v>
      </c>
      <c r="K137" s="3" t="s">
        <v>546</v>
      </c>
      <c r="L137" s="3" t="s">
        <v>551</v>
      </c>
      <c r="M137" s="3" t="s">
        <v>11</v>
      </c>
      <c r="N137" s="3">
        <v>0.05</v>
      </c>
      <c r="O137" s="3">
        <v>400000</v>
      </c>
      <c r="P137" s="3">
        <v>80</v>
      </c>
      <c r="Q137" s="3">
        <v>7</v>
      </c>
      <c r="R137" s="3">
        <v>40</v>
      </c>
    </row>
    <row r="138" spans="1:18" x14ac:dyDescent="0.25">
      <c r="A138" s="3" t="s">
        <v>279</v>
      </c>
      <c r="B138" s="3" t="s">
        <v>280</v>
      </c>
      <c r="C138" s="3">
        <v>53</v>
      </c>
      <c r="D138" s="3" t="s">
        <v>54</v>
      </c>
      <c r="E138" s="3" t="s">
        <v>30</v>
      </c>
      <c r="F138" s="3">
        <v>313.68</v>
      </c>
      <c r="G138" s="3">
        <v>4</v>
      </c>
      <c r="H138" s="3" t="s">
        <v>22</v>
      </c>
      <c r="I138" s="3">
        <v>2</v>
      </c>
      <c r="J138" s="3">
        <v>4</v>
      </c>
      <c r="K138" s="3" t="s">
        <v>542</v>
      </c>
      <c r="L138" s="3" t="s">
        <v>547</v>
      </c>
      <c r="M138" s="3" t="s">
        <v>544</v>
      </c>
      <c r="N138" s="3">
        <v>0.12</v>
      </c>
      <c r="O138" s="3">
        <v>350000</v>
      </c>
      <c r="P138" s="3">
        <v>31</v>
      </c>
      <c r="Q138" s="3">
        <v>12</v>
      </c>
      <c r="R138" s="3">
        <v>100</v>
      </c>
    </row>
    <row r="139" spans="1:18" x14ac:dyDescent="0.25">
      <c r="A139" s="3" t="s">
        <v>281</v>
      </c>
      <c r="B139" s="3" t="s">
        <v>282</v>
      </c>
      <c r="C139" s="3">
        <v>51</v>
      </c>
      <c r="D139" s="3" t="s">
        <v>34</v>
      </c>
      <c r="E139" s="3" t="s">
        <v>48</v>
      </c>
      <c r="F139" s="3">
        <v>233.12</v>
      </c>
      <c r="G139" s="3">
        <v>2</v>
      </c>
      <c r="H139" s="3" t="s">
        <v>36</v>
      </c>
      <c r="I139" s="3">
        <v>8</v>
      </c>
      <c r="J139" s="3">
        <v>5</v>
      </c>
      <c r="K139" s="3" t="s">
        <v>546</v>
      </c>
      <c r="L139" s="3" t="s">
        <v>551</v>
      </c>
      <c r="M139" s="3" t="s">
        <v>11</v>
      </c>
      <c r="N139" s="3">
        <v>0.05</v>
      </c>
      <c r="O139" s="3">
        <v>400000</v>
      </c>
      <c r="P139" s="3">
        <v>80</v>
      </c>
      <c r="Q139" s="3">
        <v>7</v>
      </c>
      <c r="R139" s="3">
        <v>40</v>
      </c>
    </row>
    <row r="140" spans="1:18" x14ac:dyDescent="0.25">
      <c r="A140" s="3" t="s">
        <v>283</v>
      </c>
      <c r="B140" s="3" t="s">
        <v>241</v>
      </c>
      <c r="C140" s="3">
        <v>28</v>
      </c>
      <c r="D140" s="3" t="s">
        <v>20</v>
      </c>
      <c r="E140" s="3" t="s">
        <v>35</v>
      </c>
      <c r="F140" s="3">
        <v>2778.63</v>
      </c>
      <c r="G140" s="3">
        <v>1</v>
      </c>
      <c r="H140" s="3" t="s">
        <v>39</v>
      </c>
      <c r="I140" s="3">
        <v>5</v>
      </c>
      <c r="J140" s="3">
        <v>1</v>
      </c>
      <c r="K140" s="3" t="s">
        <v>546</v>
      </c>
      <c r="L140" s="3" t="s">
        <v>549</v>
      </c>
      <c r="M140" s="3" t="s">
        <v>39</v>
      </c>
      <c r="N140" s="3">
        <v>0.18</v>
      </c>
      <c r="O140" s="3">
        <v>450000</v>
      </c>
      <c r="P140" s="3">
        <v>50</v>
      </c>
      <c r="Q140" s="3">
        <v>15</v>
      </c>
      <c r="R140" s="3">
        <v>50</v>
      </c>
    </row>
    <row r="141" spans="1:18" x14ac:dyDescent="0.25">
      <c r="A141" s="3" t="s">
        <v>284</v>
      </c>
      <c r="B141" s="3" t="s">
        <v>38</v>
      </c>
      <c r="C141" s="3">
        <v>23</v>
      </c>
      <c r="D141" s="3" t="s">
        <v>20</v>
      </c>
      <c r="E141" s="3" t="s">
        <v>30</v>
      </c>
      <c r="F141" s="3">
        <v>2212.0700000000002</v>
      </c>
      <c r="G141" s="3">
        <v>4</v>
      </c>
      <c r="H141" s="3" t="s">
        <v>39</v>
      </c>
      <c r="I141" s="3">
        <v>6</v>
      </c>
      <c r="J141" s="3">
        <v>1</v>
      </c>
      <c r="K141" s="3" t="s">
        <v>546</v>
      </c>
      <c r="L141" s="3" t="s">
        <v>547</v>
      </c>
      <c r="M141" s="3" t="s">
        <v>39</v>
      </c>
      <c r="N141" s="3">
        <v>0.12</v>
      </c>
      <c r="O141" s="3">
        <v>350000</v>
      </c>
      <c r="P141" s="3">
        <v>50</v>
      </c>
      <c r="Q141" s="3">
        <v>12</v>
      </c>
      <c r="R141" s="3">
        <v>100</v>
      </c>
    </row>
    <row r="142" spans="1:18" x14ac:dyDescent="0.25">
      <c r="A142" s="3" t="s">
        <v>285</v>
      </c>
      <c r="B142" s="3" t="s">
        <v>286</v>
      </c>
      <c r="C142" s="3">
        <v>56</v>
      </c>
      <c r="D142" s="3" t="s">
        <v>34</v>
      </c>
      <c r="E142" s="3" t="s">
        <v>30</v>
      </c>
      <c r="F142" s="3">
        <v>1371.94</v>
      </c>
      <c r="G142" s="3">
        <v>3</v>
      </c>
      <c r="H142" s="3" t="s">
        <v>22</v>
      </c>
      <c r="I142" s="3">
        <v>10</v>
      </c>
      <c r="J142" s="3">
        <v>4</v>
      </c>
      <c r="K142" s="3" t="s">
        <v>542</v>
      </c>
      <c r="L142" s="3" t="s">
        <v>547</v>
      </c>
      <c r="M142" s="3" t="s">
        <v>544</v>
      </c>
      <c r="N142" s="3">
        <v>0.12</v>
      </c>
      <c r="O142" s="3">
        <v>350000</v>
      </c>
      <c r="P142" s="3">
        <v>31</v>
      </c>
      <c r="Q142" s="3">
        <v>12</v>
      </c>
      <c r="R142" s="3">
        <v>100</v>
      </c>
    </row>
    <row r="143" spans="1:18" x14ac:dyDescent="0.25">
      <c r="A143" s="3" t="s">
        <v>287</v>
      </c>
      <c r="B143" s="3" t="s">
        <v>288</v>
      </c>
      <c r="C143" s="3">
        <v>50</v>
      </c>
      <c r="D143" s="3" t="s">
        <v>29</v>
      </c>
      <c r="E143" s="3" t="s">
        <v>51</v>
      </c>
      <c r="F143" s="3">
        <v>4430.22</v>
      </c>
      <c r="G143" s="3">
        <v>5</v>
      </c>
      <c r="H143" s="3" t="s">
        <v>36</v>
      </c>
      <c r="I143" s="3">
        <v>9</v>
      </c>
      <c r="J143" s="3">
        <v>1</v>
      </c>
      <c r="K143" s="3" t="s">
        <v>546</v>
      </c>
      <c r="L143" s="3" t="s">
        <v>552</v>
      </c>
      <c r="M143" s="3" t="s">
        <v>11</v>
      </c>
      <c r="N143" s="3">
        <v>0.14000000000000001</v>
      </c>
      <c r="O143" s="3">
        <v>300000</v>
      </c>
      <c r="P143" s="3">
        <v>80</v>
      </c>
      <c r="Q143" s="3">
        <v>12</v>
      </c>
      <c r="R143" s="3">
        <v>70</v>
      </c>
    </row>
    <row r="144" spans="1:18" x14ac:dyDescent="0.25">
      <c r="A144" s="3" t="s">
        <v>289</v>
      </c>
      <c r="B144" s="3" t="s">
        <v>111</v>
      </c>
      <c r="C144" s="3">
        <v>59</v>
      </c>
      <c r="D144" s="3" t="s">
        <v>29</v>
      </c>
      <c r="E144" s="3" t="s">
        <v>30</v>
      </c>
      <c r="F144" s="3">
        <v>3746.98</v>
      </c>
      <c r="G144" s="3">
        <v>4</v>
      </c>
      <c r="H144" s="3" t="s">
        <v>22</v>
      </c>
      <c r="I144" s="3">
        <v>7</v>
      </c>
      <c r="J144" s="3">
        <v>5</v>
      </c>
      <c r="K144" s="3" t="s">
        <v>542</v>
      </c>
      <c r="L144" s="3" t="s">
        <v>547</v>
      </c>
      <c r="M144" s="3" t="s">
        <v>544</v>
      </c>
      <c r="N144" s="3">
        <v>0.12</v>
      </c>
      <c r="O144" s="3">
        <v>350000</v>
      </c>
      <c r="P144" s="3">
        <v>31</v>
      </c>
      <c r="Q144" s="3">
        <v>12</v>
      </c>
      <c r="R144" s="3">
        <v>100</v>
      </c>
    </row>
    <row r="145" spans="1:18" x14ac:dyDescent="0.25">
      <c r="A145" s="3" t="s">
        <v>290</v>
      </c>
      <c r="B145" s="3" t="s">
        <v>291</v>
      </c>
      <c r="C145" s="3">
        <v>49</v>
      </c>
      <c r="D145" s="3" t="s">
        <v>54</v>
      </c>
      <c r="E145" s="3" t="s">
        <v>51</v>
      </c>
      <c r="F145" s="3">
        <v>4204.0600000000004</v>
      </c>
      <c r="G145" s="3">
        <v>5</v>
      </c>
      <c r="H145" s="3" t="s">
        <v>36</v>
      </c>
      <c r="I145" s="3">
        <v>1</v>
      </c>
      <c r="J145" s="3">
        <v>5</v>
      </c>
      <c r="K145" s="3" t="s">
        <v>542</v>
      </c>
      <c r="L145" s="3" t="s">
        <v>552</v>
      </c>
      <c r="M145" s="3" t="s">
        <v>11</v>
      </c>
      <c r="N145" s="3">
        <v>0.14000000000000001</v>
      </c>
      <c r="O145" s="3">
        <v>300000</v>
      </c>
      <c r="P145" s="3">
        <v>80</v>
      </c>
      <c r="Q145" s="3">
        <v>12</v>
      </c>
      <c r="R145" s="3">
        <v>70</v>
      </c>
    </row>
    <row r="146" spans="1:18" x14ac:dyDescent="0.25">
      <c r="A146" s="3" t="s">
        <v>292</v>
      </c>
      <c r="B146" s="3" t="s">
        <v>293</v>
      </c>
      <c r="C146" s="3">
        <v>32</v>
      </c>
      <c r="D146" s="3" t="s">
        <v>54</v>
      </c>
      <c r="E146" s="3" t="s">
        <v>26</v>
      </c>
      <c r="F146" s="3">
        <v>466.48</v>
      </c>
      <c r="G146" s="3">
        <v>5</v>
      </c>
      <c r="H146" s="3" t="s">
        <v>36</v>
      </c>
      <c r="I146" s="3">
        <v>2</v>
      </c>
      <c r="J146" s="3">
        <v>1</v>
      </c>
      <c r="K146" s="3" t="s">
        <v>546</v>
      </c>
      <c r="L146" s="3" t="s">
        <v>545</v>
      </c>
      <c r="M146" s="3" t="s">
        <v>11</v>
      </c>
      <c r="N146" s="3">
        <v>0.12</v>
      </c>
      <c r="O146" s="3">
        <v>240000</v>
      </c>
      <c r="P146" s="3">
        <v>80</v>
      </c>
      <c r="Q146" s="3">
        <v>14</v>
      </c>
      <c r="R146" s="3">
        <v>30</v>
      </c>
    </row>
    <row r="147" spans="1:18" x14ac:dyDescent="0.25">
      <c r="A147" s="3" t="s">
        <v>294</v>
      </c>
      <c r="B147" s="3" t="s">
        <v>56</v>
      </c>
      <c r="C147" s="3">
        <v>26</v>
      </c>
      <c r="D147" s="3" t="s">
        <v>20</v>
      </c>
      <c r="E147" s="3" t="s">
        <v>30</v>
      </c>
      <c r="F147" s="3">
        <v>3934.88</v>
      </c>
      <c r="G147" s="3">
        <v>4</v>
      </c>
      <c r="H147" s="3" t="s">
        <v>22</v>
      </c>
      <c r="I147" s="3">
        <v>7</v>
      </c>
      <c r="J147" s="3">
        <v>1</v>
      </c>
      <c r="K147" s="3" t="s">
        <v>546</v>
      </c>
      <c r="L147" s="3" t="s">
        <v>547</v>
      </c>
      <c r="M147" s="3" t="s">
        <v>544</v>
      </c>
      <c r="N147" s="3">
        <v>0.12</v>
      </c>
      <c r="O147" s="3">
        <v>350000</v>
      </c>
      <c r="P147" s="3">
        <v>31</v>
      </c>
      <c r="Q147" s="3">
        <v>12</v>
      </c>
      <c r="R147" s="3">
        <v>100</v>
      </c>
    </row>
    <row r="148" spans="1:18" x14ac:dyDescent="0.25">
      <c r="A148" s="3" t="s">
        <v>295</v>
      </c>
      <c r="B148" s="3" t="s">
        <v>296</v>
      </c>
      <c r="C148" s="3">
        <v>54</v>
      </c>
      <c r="D148" s="3" t="s">
        <v>54</v>
      </c>
      <c r="E148" s="3" t="s">
        <v>30</v>
      </c>
      <c r="F148" s="3">
        <v>261.57</v>
      </c>
      <c r="G148" s="3">
        <v>5</v>
      </c>
      <c r="H148" s="3" t="s">
        <v>36</v>
      </c>
      <c r="I148" s="3">
        <v>9</v>
      </c>
      <c r="J148" s="3">
        <v>4</v>
      </c>
      <c r="K148" s="3" t="s">
        <v>542</v>
      </c>
      <c r="L148" s="3" t="s">
        <v>547</v>
      </c>
      <c r="M148" s="3" t="s">
        <v>11</v>
      </c>
      <c r="N148" s="3">
        <v>0.12</v>
      </c>
      <c r="O148" s="3">
        <v>350000</v>
      </c>
      <c r="P148" s="3">
        <v>80</v>
      </c>
      <c r="Q148" s="3">
        <v>12</v>
      </c>
      <c r="R148" s="3">
        <v>100</v>
      </c>
    </row>
    <row r="149" spans="1:18" x14ac:dyDescent="0.25">
      <c r="A149" s="3" t="s">
        <v>297</v>
      </c>
      <c r="B149" s="3" t="s">
        <v>298</v>
      </c>
      <c r="C149" s="3">
        <v>25</v>
      </c>
      <c r="D149" s="3" t="s">
        <v>20</v>
      </c>
      <c r="E149" s="3" t="s">
        <v>48</v>
      </c>
      <c r="F149" s="3">
        <v>915.42</v>
      </c>
      <c r="G149" s="3">
        <v>5</v>
      </c>
      <c r="H149" s="3" t="s">
        <v>36</v>
      </c>
      <c r="I149" s="3">
        <v>9</v>
      </c>
      <c r="J149" s="3">
        <v>1</v>
      </c>
      <c r="K149" s="3" t="s">
        <v>546</v>
      </c>
      <c r="L149" s="3" t="s">
        <v>551</v>
      </c>
      <c r="M149" s="3" t="s">
        <v>11</v>
      </c>
      <c r="N149" s="3">
        <v>0.05</v>
      </c>
      <c r="O149" s="3">
        <v>400000</v>
      </c>
      <c r="P149" s="3">
        <v>80</v>
      </c>
      <c r="Q149" s="3">
        <v>7</v>
      </c>
      <c r="R149" s="3">
        <v>40</v>
      </c>
    </row>
    <row r="150" spans="1:18" x14ac:dyDescent="0.25">
      <c r="A150" s="3" t="s">
        <v>299</v>
      </c>
      <c r="B150" s="3" t="s">
        <v>300</v>
      </c>
      <c r="C150" s="3">
        <v>27</v>
      </c>
      <c r="D150" s="3" t="s">
        <v>54</v>
      </c>
      <c r="E150" s="3" t="s">
        <v>26</v>
      </c>
      <c r="F150" s="3">
        <v>1259.93</v>
      </c>
      <c r="G150" s="3">
        <v>3</v>
      </c>
      <c r="H150" s="3" t="s">
        <v>39</v>
      </c>
      <c r="I150" s="3">
        <v>10</v>
      </c>
      <c r="J150" s="3">
        <v>3</v>
      </c>
      <c r="K150" s="3" t="s">
        <v>546</v>
      </c>
      <c r="L150" s="3" t="s">
        <v>545</v>
      </c>
      <c r="M150" s="3" t="s">
        <v>39</v>
      </c>
      <c r="N150" s="3">
        <v>0.12</v>
      </c>
      <c r="O150" s="3">
        <v>240000</v>
      </c>
      <c r="P150" s="3">
        <v>50</v>
      </c>
      <c r="Q150" s="3">
        <v>14</v>
      </c>
      <c r="R150" s="3">
        <v>30</v>
      </c>
    </row>
    <row r="151" spans="1:18" x14ac:dyDescent="0.25">
      <c r="A151" s="3" t="s">
        <v>301</v>
      </c>
      <c r="B151" s="3" t="s">
        <v>302</v>
      </c>
      <c r="C151" s="3">
        <v>21</v>
      </c>
      <c r="D151" s="3" t="s">
        <v>45</v>
      </c>
      <c r="E151" s="3" t="s">
        <v>30</v>
      </c>
      <c r="F151" s="3">
        <v>2426.61</v>
      </c>
      <c r="G151" s="3">
        <v>4</v>
      </c>
      <c r="H151" s="3" t="s">
        <v>31</v>
      </c>
      <c r="I151" s="3">
        <v>1</v>
      </c>
      <c r="J151" s="3">
        <v>2</v>
      </c>
      <c r="K151" s="3" t="s">
        <v>546</v>
      </c>
      <c r="L151" s="3" t="s">
        <v>547</v>
      </c>
      <c r="M151" s="3" t="s">
        <v>548</v>
      </c>
      <c r="N151" s="3">
        <v>0.12</v>
      </c>
      <c r="O151" s="3">
        <v>350000</v>
      </c>
      <c r="P151" s="3">
        <v>50</v>
      </c>
      <c r="Q151" s="3">
        <v>12</v>
      </c>
      <c r="R151" s="3">
        <v>100</v>
      </c>
    </row>
    <row r="152" spans="1:18" x14ac:dyDescent="0.25">
      <c r="A152" s="3" t="s">
        <v>303</v>
      </c>
      <c r="B152" s="3" t="s">
        <v>304</v>
      </c>
      <c r="C152" s="3">
        <v>18</v>
      </c>
      <c r="D152" s="3" t="s">
        <v>34</v>
      </c>
      <c r="E152" s="3" t="s">
        <v>51</v>
      </c>
      <c r="F152" s="3">
        <v>2748.48</v>
      </c>
      <c r="G152" s="3">
        <v>4</v>
      </c>
      <c r="H152" s="3" t="s">
        <v>42</v>
      </c>
      <c r="I152" s="3">
        <v>6</v>
      </c>
      <c r="J152" s="3">
        <v>4</v>
      </c>
      <c r="K152" s="3" t="s">
        <v>542</v>
      </c>
      <c r="L152" s="3" t="s">
        <v>552</v>
      </c>
      <c r="M152" s="3" t="s">
        <v>550</v>
      </c>
      <c r="N152" s="3">
        <v>0.14000000000000001</v>
      </c>
      <c r="O152" s="3">
        <v>300000</v>
      </c>
      <c r="P152" s="3">
        <v>90</v>
      </c>
      <c r="Q152" s="3">
        <v>12</v>
      </c>
      <c r="R152" s="3">
        <v>70</v>
      </c>
    </row>
    <row r="153" spans="1:18" x14ac:dyDescent="0.25">
      <c r="A153" s="3" t="s">
        <v>305</v>
      </c>
      <c r="B153" s="3" t="s">
        <v>128</v>
      </c>
      <c r="C153" s="3">
        <v>39</v>
      </c>
      <c r="D153" s="3" t="s">
        <v>25</v>
      </c>
      <c r="E153" s="3" t="s">
        <v>30</v>
      </c>
      <c r="F153" s="3">
        <v>806.53</v>
      </c>
      <c r="G153" s="3">
        <v>1</v>
      </c>
      <c r="H153" s="3" t="s">
        <v>36</v>
      </c>
      <c r="I153" s="3">
        <v>6</v>
      </c>
      <c r="J153" s="3">
        <v>5</v>
      </c>
      <c r="K153" s="3" t="s">
        <v>546</v>
      </c>
      <c r="L153" s="3" t="s">
        <v>547</v>
      </c>
      <c r="M153" s="3" t="s">
        <v>11</v>
      </c>
      <c r="N153" s="3">
        <v>0.12</v>
      </c>
      <c r="O153" s="3">
        <v>350000</v>
      </c>
      <c r="P153" s="3">
        <v>80</v>
      </c>
      <c r="Q153" s="3">
        <v>12</v>
      </c>
      <c r="R153" s="3">
        <v>100</v>
      </c>
    </row>
    <row r="154" spans="1:18" x14ac:dyDescent="0.25">
      <c r="A154" s="3" t="s">
        <v>306</v>
      </c>
      <c r="B154" s="3" t="s">
        <v>241</v>
      </c>
      <c r="C154" s="3">
        <v>39</v>
      </c>
      <c r="D154" s="3" t="s">
        <v>54</v>
      </c>
      <c r="E154" s="3" t="s">
        <v>48</v>
      </c>
      <c r="F154" s="3">
        <v>3499.85</v>
      </c>
      <c r="G154" s="3">
        <v>3</v>
      </c>
      <c r="H154" s="3" t="s">
        <v>22</v>
      </c>
      <c r="I154" s="3">
        <v>6</v>
      </c>
      <c r="J154" s="3">
        <v>1</v>
      </c>
      <c r="K154" s="3" t="s">
        <v>546</v>
      </c>
      <c r="L154" s="3" t="s">
        <v>551</v>
      </c>
      <c r="M154" s="3" t="s">
        <v>544</v>
      </c>
      <c r="N154" s="3">
        <v>0.05</v>
      </c>
      <c r="O154" s="3">
        <v>400000</v>
      </c>
      <c r="P154" s="3">
        <v>31</v>
      </c>
      <c r="Q154" s="3">
        <v>7</v>
      </c>
      <c r="R154" s="3">
        <v>40</v>
      </c>
    </row>
    <row r="155" spans="1:18" x14ac:dyDescent="0.25">
      <c r="A155" s="3" t="s">
        <v>307</v>
      </c>
      <c r="B155" s="3" t="s">
        <v>308</v>
      </c>
      <c r="C155" s="3">
        <v>57</v>
      </c>
      <c r="D155" s="3" t="s">
        <v>29</v>
      </c>
      <c r="E155" s="3" t="s">
        <v>48</v>
      </c>
      <c r="F155" s="3">
        <v>3274.59</v>
      </c>
      <c r="G155" s="3">
        <v>2</v>
      </c>
      <c r="H155" s="3" t="s">
        <v>31</v>
      </c>
      <c r="I155" s="3">
        <v>6</v>
      </c>
      <c r="J155" s="3">
        <v>1</v>
      </c>
      <c r="K155" s="3" t="s">
        <v>546</v>
      </c>
      <c r="L155" s="3" t="s">
        <v>551</v>
      </c>
      <c r="M155" s="3" t="s">
        <v>548</v>
      </c>
      <c r="N155" s="3">
        <v>0.05</v>
      </c>
      <c r="O155" s="3">
        <v>400000</v>
      </c>
      <c r="P155" s="3">
        <v>50</v>
      </c>
      <c r="Q155" s="3">
        <v>7</v>
      </c>
      <c r="R155" s="3">
        <v>40</v>
      </c>
    </row>
    <row r="156" spans="1:18" x14ac:dyDescent="0.25">
      <c r="A156" s="3" t="s">
        <v>309</v>
      </c>
      <c r="B156" s="3" t="s">
        <v>310</v>
      </c>
      <c r="C156" s="3">
        <v>48</v>
      </c>
      <c r="D156" s="3" t="s">
        <v>20</v>
      </c>
      <c r="E156" s="3" t="s">
        <v>26</v>
      </c>
      <c r="F156" s="3">
        <v>3213.53</v>
      </c>
      <c r="G156" s="3">
        <v>3</v>
      </c>
      <c r="H156" s="3" t="s">
        <v>31</v>
      </c>
      <c r="I156" s="3">
        <v>7</v>
      </c>
      <c r="J156" s="3">
        <v>1</v>
      </c>
      <c r="K156" s="3" t="s">
        <v>546</v>
      </c>
      <c r="L156" s="3" t="s">
        <v>545</v>
      </c>
      <c r="M156" s="3" t="s">
        <v>548</v>
      </c>
      <c r="N156" s="3">
        <v>0.12</v>
      </c>
      <c r="O156" s="3">
        <v>240000</v>
      </c>
      <c r="P156" s="3">
        <v>50</v>
      </c>
      <c r="Q156" s="3">
        <v>14</v>
      </c>
      <c r="R156" s="3">
        <v>30</v>
      </c>
    </row>
    <row r="157" spans="1:18" x14ac:dyDescent="0.25">
      <c r="A157" s="3" t="s">
        <v>311</v>
      </c>
      <c r="B157" s="3" t="s">
        <v>152</v>
      </c>
      <c r="C157" s="3">
        <v>18</v>
      </c>
      <c r="D157" s="3" t="s">
        <v>20</v>
      </c>
      <c r="E157" s="3" t="s">
        <v>48</v>
      </c>
      <c r="F157" s="3">
        <v>2000.95</v>
      </c>
      <c r="G157" s="3">
        <v>2</v>
      </c>
      <c r="H157" s="3" t="s">
        <v>39</v>
      </c>
      <c r="I157" s="3">
        <v>7</v>
      </c>
      <c r="J157" s="3">
        <v>4</v>
      </c>
      <c r="K157" s="3" t="s">
        <v>546</v>
      </c>
      <c r="L157" s="3" t="s">
        <v>551</v>
      </c>
      <c r="M157" s="3" t="s">
        <v>39</v>
      </c>
      <c r="N157" s="3">
        <v>0.05</v>
      </c>
      <c r="O157" s="3">
        <v>400000</v>
      </c>
      <c r="P157" s="3">
        <v>50</v>
      </c>
      <c r="Q157" s="3">
        <v>7</v>
      </c>
      <c r="R157" s="3">
        <v>40</v>
      </c>
    </row>
    <row r="158" spans="1:18" x14ac:dyDescent="0.25">
      <c r="A158" s="3" t="s">
        <v>312</v>
      </c>
      <c r="B158" s="3" t="s">
        <v>313</v>
      </c>
      <c r="C158" s="3">
        <v>18</v>
      </c>
      <c r="D158" s="3" t="s">
        <v>29</v>
      </c>
      <c r="E158" s="3" t="s">
        <v>51</v>
      </c>
      <c r="F158" s="3">
        <v>1710.69</v>
      </c>
      <c r="G158" s="3">
        <v>5</v>
      </c>
      <c r="H158" s="3" t="s">
        <v>36</v>
      </c>
      <c r="I158" s="3">
        <v>2</v>
      </c>
      <c r="J158" s="3">
        <v>2</v>
      </c>
      <c r="K158" s="3" t="s">
        <v>546</v>
      </c>
      <c r="L158" s="3" t="s">
        <v>552</v>
      </c>
      <c r="M158" s="3" t="s">
        <v>11</v>
      </c>
      <c r="N158" s="3">
        <v>0.14000000000000001</v>
      </c>
      <c r="O158" s="3">
        <v>300000</v>
      </c>
      <c r="P158" s="3">
        <v>80</v>
      </c>
      <c r="Q158" s="3">
        <v>12</v>
      </c>
      <c r="R158" s="3">
        <v>70</v>
      </c>
    </row>
    <row r="159" spans="1:18" x14ac:dyDescent="0.25">
      <c r="A159" s="3" t="s">
        <v>314</v>
      </c>
      <c r="B159" s="3" t="s">
        <v>315</v>
      </c>
      <c r="C159" s="3">
        <v>52</v>
      </c>
      <c r="D159" s="3" t="s">
        <v>25</v>
      </c>
      <c r="E159" s="3" t="s">
        <v>48</v>
      </c>
      <c r="F159" s="3">
        <v>1501.12</v>
      </c>
      <c r="G159" s="3">
        <v>5</v>
      </c>
      <c r="H159" s="3" t="s">
        <v>31</v>
      </c>
      <c r="I159" s="3">
        <v>7</v>
      </c>
      <c r="J159" s="3">
        <v>3</v>
      </c>
      <c r="K159" s="3" t="s">
        <v>546</v>
      </c>
      <c r="L159" s="3" t="s">
        <v>551</v>
      </c>
      <c r="M159" s="3" t="s">
        <v>548</v>
      </c>
      <c r="N159" s="3">
        <v>0.05</v>
      </c>
      <c r="O159" s="3">
        <v>400000</v>
      </c>
      <c r="P159" s="3">
        <v>50</v>
      </c>
      <c r="Q159" s="3">
        <v>7</v>
      </c>
      <c r="R159" s="3">
        <v>40</v>
      </c>
    </row>
    <row r="160" spans="1:18" x14ac:dyDescent="0.25">
      <c r="A160" s="3" t="s">
        <v>316</v>
      </c>
      <c r="B160" s="3" t="s">
        <v>317</v>
      </c>
      <c r="C160" s="3">
        <v>28</v>
      </c>
      <c r="D160" s="3" t="s">
        <v>45</v>
      </c>
      <c r="E160" s="3" t="s">
        <v>35</v>
      </c>
      <c r="F160" s="3">
        <v>806.2</v>
      </c>
      <c r="G160" s="3">
        <v>1</v>
      </c>
      <c r="H160" s="3" t="s">
        <v>42</v>
      </c>
      <c r="I160" s="3">
        <v>1</v>
      </c>
      <c r="J160" s="3">
        <v>3</v>
      </c>
      <c r="K160" s="3" t="s">
        <v>546</v>
      </c>
      <c r="L160" s="3" t="s">
        <v>549</v>
      </c>
      <c r="M160" s="3" t="s">
        <v>550</v>
      </c>
      <c r="N160" s="3">
        <v>0.18</v>
      </c>
      <c r="O160" s="3">
        <v>450000</v>
      </c>
      <c r="P160" s="3">
        <v>90</v>
      </c>
      <c r="Q160" s="3">
        <v>15</v>
      </c>
      <c r="R160" s="3">
        <v>50</v>
      </c>
    </row>
    <row r="161" spans="1:18" x14ac:dyDescent="0.25">
      <c r="A161" s="3" t="s">
        <v>318</v>
      </c>
      <c r="B161" s="3" t="s">
        <v>319</v>
      </c>
      <c r="C161" s="3">
        <v>59</v>
      </c>
      <c r="D161" s="3" t="s">
        <v>20</v>
      </c>
      <c r="E161" s="3" t="s">
        <v>26</v>
      </c>
      <c r="F161" s="3">
        <v>1483.91</v>
      </c>
      <c r="G161" s="3">
        <v>5</v>
      </c>
      <c r="H161" s="3" t="s">
        <v>42</v>
      </c>
      <c r="I161" s="3">
        <v>3</v>
      </c>
      <c r="J161" s="3">
        <v>5</v>
      </c>
      <c r="K161" s="3" t="s">
        <v>542</v>
      </c>
      <c r="L161" s="3" t="s">
        <v>545</v>
      </c>
      <c r="M161" s="3" t="s">
        <v>550</v>
      </c>
      <c r="N161" s="3">
        <v>0.12</v>
      </c>
      <c r="O161" s="3">
        <v>240000</v>
      </c>
      <c r="P161" s="3">
        <v>90</v>
      </c>
      <c r="Q161" s="3">
        <v>14</v>
      </c>
      <c r="R161" s="3">
        <v>30</v>
      </c>
    </row>
    <row r="162" spans="1:18" x14ac:dyDescent="0.25">
      <c r="A162" s="3" t="s">
        <v>320</v>
      </c>
      <c r="B162" s="3" t="s">
        <v>321</v>
      </c>
      <c r="C162" s="3">
        <v>24</v>
      </c>
      <c r="D162" s="3" t="s">
        <v>45</v>
      </c>
      <c r="E162" s="3" t="s">
        <v>26</v>
      </c>
      <c r="F162" s="3">
        <v>1005.51</v>
      </c>
      <c r="G162" s="3">
        <v>2</v>
      </c>
      <c r="H162" s="3" t="s">
        <v>39</v>
      </c>
      <c r="I162" s="3">
        <v>1</v>
      </c>
      <c r="J162" s="3">
        <v>3</v>
      </c>
      <c r="K162" s="3" t="s">
        <v>546</v>
      </c>
      <c r="L162" s="3" t="s">
        <v>545</v>
      </c>
      <c r="M162" s="3" t="s">
        <v>39</v>
      </c>
      <c r="N162" s="3">
        <v>0.12</v>
      </c>
      <c r="O162" s="3">
        <v>240000</v>
      </c>
      <c r="P162" s="3">
        <v>50</v>
      </c>
      <c r="Q162" s="3">
        <v>14</v>
      </c>
      <c r="R162" s="3">
        <v>30</v>
      </c>
    </row>
    <row r="163" spans="1:18" x14ac:dyDescent="0.25">
      <c r="A163" s="3" t="s">
        <v>322</v>
      </c>
      <c r="B163" s="3" t="s">
        <v>323</v>
      </c>
      <c r="C163" s="3">
        <v>38</v>
      </c>
      <c r="D163" s="3" t="s">
        <v>45</v>
      </c>
      <c r="E163" s="3" t="s">
        <v>21</v>
      </c>
      <c r="F163" s="3">
        <v>780.03</v>
      </c>
      <c r="G163" s="3">
        <v>2</v>
      </c>
      <c r="H163" s="3" t="s">
        <v>42</v>
      </c>
      <c r="I163" s="3">
        <v>9</v>
      </c>
      <c r="J163" s="3">
        <v>1</v>
      </c>
      <c r="K163" s="3" t="s">
        <v>546</v>
      </c>
      <c r="L163" s="3" t="s">
        <v>543</v>
      </c>
      <c r="M163" s="3" t="s">
        <v>550</v>
      </c>
      <c r="N163" s="3">
        <v>0.1</v>
      </c>
      <c r="O163" s="3">
        <v>560000</v>
      </c>
      <c r="P163" s="3">
        <v>90</v>
      </c>
      <c r="Q163" s="3">
        <v>13</v>
      </c>
      <c r="R163" s="3">
        <v>60</v>
      </c>
    </row>
    <row r="164" spans="1:18" x14ac:dyDescent="0.25">
      <c r="A164" s="3" t="s">
        <v>324</v>
      </c>
      <c r="B164" s="3" t="s">
        <v>115</v>
      </c>
      <c r="C164" s="3">
        <v>19</v>
      </c>
      <c r="D164" s="3" t="s">
        <v>25</v>
      </c>
      <c r="E164" s="3" t="s">
        <v>51</v>
      </c>
      <c r="F164" s="3">
        <v>2577.54</v>
      </c>
      <c r="G164" s="3">
        <v>1</v>
      </c>
      <c r="H164" s="3" t="s">
        <v>39</v>
      </c>
      <c r="I164" s="3">
        <v>5</v>
      </c>
      <c r="J164" s="3">
        <v>1</v>
      </c>
      <c r="K164" s="3" t="s">
        <v>546</v>
      </c>
      <c r="L164" s="3" t="s">
        <v>552</v>
      </c>
      <c r="M164" s="3" t="s">
        <v>39</v>
      </c>
      <c r="N164" s="3">
        <v>0.14000000000000001</v>
      </c>
      <c r="O164" s="3">
        <v>300000</v>
      </c>
      <c r="P164" s="3">
        <v>50</v>
      </c>
      <c r="Q164" s="3">
        <v>12</v>
      </c>
      <c r="R164" s="3">
        <v>70</v>
      </c>
    </row>
    <row r="165" spans="1:18" x14ac:dyDescent="0.25">
      <c r="A165" s="3" t="s">
        <v>325</v>
      </c>
      <c r="B165" s="3" t="s">
        <v>326</v>
      </c>
      <c r="C165" s="3">
        <v>35</v>
      </c>
      <c r="D165" s="3" t="s">
        <v>34</v>
      </c>
      <c r="E165" s="3" t="s">
        <v>51</v>
      </c>
      <c r="F165" s="3">
        <v>366.51</v>
      </c>
      <c r="G165" s="3">
        <v>3</v>
      </c>
      <c r="H165" s="3" t="s">
        <v>31</v>
      </c>
      <c r="I165" s="3">
        <v>7</v>
      </c>
      <c r="J165" s="3">
        <v>4</v>
      </c>
      <c r="K165" s="3" t="s">
        <v>542</v>
      </c>
      <c r="L165" s="3" t="s">
        <v>552</v>
      </c>
      <c r="M165" s="3" t="s">
        <v>548</v>
      </c>
      <c r="N165" s="3">
        <v>0.14000000000000001</v>
      </c>
      <c r="O165" s="3">
        <v>300000</v>
      </c>
      <c r="P165" s="3">
        <v>50</v>
      </c>
      <c r="Q165" s="3">
        <v>12</v>
      </c>
      <c r="R165" s="3">
        <v>70</v>
      </c>
    </row>
    <row r="166" spans="1:18" x14ac:dyDescent="0.25">
      <c r="A166" s="3" t="s">
        <v>327</v>
      </c>
      <c r="B166" s="3" t="s">
        <v>328</v>
      </c>
      <c r="C166" s="3">
        <v>29</v>
      </c>
      <c r="D166" s="3" t="s">
        <v>54</v>
      </c>
      <c r="E166" s="3" t="s">
        <v>48</v>
      </c>
      <c r="F166" s="3">
        <v>4905.82</v>
      </c>
      <c r="G166" s="3">
        <v>2</v>
      </c>
      <c r="H166" s="3" t="s">
        <v>22</v>
      </c>
      <c r="I166" s="3">
        <v>3</v>
      </c>
      <c r="J166" s="3">
        <v>2</v>
      </c>
      <c r="K166" s="3" t="s">
        <v>546</v>
      </c>
      <c r="L166" s="3" t="s">
        <v>551</v>
      </c>
      <c r="M166" s="3" t="s">
        <v>544</v>
      </c>
      <c r="N166" s="3">
        <v>0.05</v>
      </c>
      <c r="O166" s="3">
        <v>400000</v>
      </c>
      <c r="P166" s="3">
        <v>31</v>
      </c>
      <c r="Q166" s="3">
        <v>7</v>
      </c>
      <c r="R166" s="3">
        <v>40</v>
      </c>
    </row>
    <row r="167" spans="1:18" x14ac:dyDescent="0.25">
      <c r="A167" s="3" t="s">
        <v>329</v>
      </c>
      <c r="B167" s="3" t="s">
        <v>92</v>
      </c>
      <c r="C167" s="3">
        <v>36</v>
      </c>
      <c r="D167" s="3" t="s">
        <v>45</v>
      </c>
      <c r="E167" s="3" t="s">
        <v>30</v>
      </c>
      <c r="F167" s="3">
        <v>3343.63</v>
      </c>
      <c r="G167" s="3">
        <v>2</v>
      </c>
      <c r="H167" s="3" t="s">
        <v>36</v>
      </c>
      <c r="I167" s="3">
        <v>4</v>
      </c>
      <c r="J167" s="3">
        <v>2</v>
      </c>
      <c r="K167" s="3" t="s">
        <v>546</v>
      </c>
      <c r="L167" s="3" t="s">
        <v>547</v>
      </c>
      <c r="M167" s="3" t="s">
        <v>11</v>
      </c>
      <c r="N167" s="3">
        <v>0.12</v>
      </c>
      <c r="O167" s="3">
        <v>350000</v>
      </c>
      <c r="P167" s="3">
        <v>80</v>
      </c>
      <c r="Q167" s="3">
        <v>12</v>
      </c>
      <c r="R167" s="3">
        <v>100</v>
      </c>
    </row>
    <row r="168" spans="1:18" x14ac:dyDescent="0.25">
      <c r="A168" s="3" t="s">
        <v>330</v>
      </c>
      <c r="B168" s="3" t="s">
        <v>331</v>
      </c>
      <c r="C168" s="3">
        <v>24</v>
      </c>
      <c r="D168" s="3" t="s">
        <v>29</v>
      </c>
      <c r="E168" s="3" t="s">
        <v>26</v>
      </c>
      <c r="F168" s="3">
        <v>2378.6799999999998</v>
      </c>
      <c r="G168" s="3">
        <v>2</v>
      </c>
      <c r="H168" s="3" t="s">
        <v>39</v>
      </c>
      <c r="I168" s="3">
        <v>6</v>
      </c>
      <c r="J168" s="3">
        <v>2</v>
      </c>
      <c r="K168" s="3" t="s">
        <v>546</v>
      </c>
      <c r="L168" s="3" t="s">
        <v>545</v>
      </c>
      <c r="M168" s="3" t="s">
        <v>39</v>
      </c>
      <c r="N168" s="3">
        <v>0.12</v>
      </c>
      <c r="O168" s="3">
        <v>240000</v>
      </c>
      <c r="P168" s="3">
        <v>50</v>
      </c>
      <c r="Q168" s="3">
        <v>14</v>
      </c>
      <c r="R168" s="3">
        <v>30</v>
      </c>
    </row>
    <row r="169" spans="1:18" x14ac:dyDescent="0.25">
      <c r="A169" s="3" t="s">
        <v>332</v>
      </c>
      <c r="B169" s="3" t="s">
        <v>333</v>
      </c>
      <c r="C169" s="3">
        <v>42</v>
      </c>
      <c r="D169" s="3" t="s">
        <v>54</v>
      </c>
      <c r="E169" s="3" t="s">
        <v>48</v>
      </c>
      <c r="F169" s="3">
        <v>3452.45</v>
      </c>
      <c r="G169" s="3">
        <v>2</v>
      </c>
      <c r="H169" s="3" t="s">
        <v>42</v>
      </c>
      <c r="I169" s="3">
        <v>10</v>
      </c>
      <c r="J169" s="3">
        <v>1</v>
      </c>
      <c r="K169" s="3" t="s">
        <v>546</v>
      </c>
      <c r="L169" s="3" t="s">
        <v>551</v>
      </c>
      <c r="M169" s="3" t="s">
        <v>550</v>
      </c>
      <c r="N169" s="3">
        <v>0.05</v>
      </c>
      <c r="O169" s="3">
        <v>400000</v>
      </c>
      <c r="P169" s="3">
        <v>90</v>
      </c>
      <c r="Q169" s="3">
        <v>7</v>
      </c>
      <c r="R169" s="3">
        <v>40</v>
      </c>
    </row>
    <row r="170" spans="1:18" x14ac:dyDescent="0.25">
      <c r="A170" s="3" t="s">
        <v>334</v>
      </c>
      <c r="B170" s="3" t="s">
        <v>175</v>
      </c>
      <c r="C170" s="3">
        <v>32</v>
      </c>
      <c r="D170" s="3" t="s">
        <v>29</v>
      </c>
      <c r="E170" s="3" t="s">
        <v>48</v>
      </c>
      <c r="F170" s="3">
        <v>4424.59</v>
      </c>
      <c r="G170" s="3">
        <v>2</v>
      </c>
      <c r="H170" s="3" t="s">
        <v>39</v>
      </c>
      <c r="I170" s="3">
        <v>9</v>
      </c>
      <c r="J170" s="3">
        <v>4</v>
      </c>
      <c r="K170" s="3" t="s">
        <v>546</v>
      </c>
      <c r="L170" s="3" t="s">
        <v>551</v>
      </c>
      <c r="M170" s="3" t="s">
        <v>39</v>
      </c>
      <c r="N170" s="3">
        <v>0.05</v>
      </c>
      <c r="O170" s="3">
        <v>400000</v>
      </c>
      <c r="P170" s="3">
        <v>50</v>
      </c>
      <c r="Q170" s="3">
        <v>7</v>
      </c>
      <c r="R170" s="3">
        <v>40</v>
      </c>
    </row>
    <row r="171" spans="1:18" x14ac:dyDescent="0.25">
      <c r="A171" s="3" t="s">
        <v>335</v>
      </c>
      <c r="B171" s="3" t="s">
        <v>336</v>
      </c>
      <c r="C171" s="3">
        <v>49</v>
      </c>
      <c r="D171" s="3" t="s">
        <v>25</v>
      </c>
      <c r="E171" s="3" t="s">
        <v>35</v>
      </c>
      <c r="F171" s="3">
        <v>273.33999999999997</v>
      </c>
      <c r="G171" s="3">
        <v>3</v>
      </c>
      <c r="H171" s="3" t="s">
        <v>36</v>
      </c>
      <c r="I171" s="3">
        <v>1</v>
      </c>
      <c r="J171" s="3">
        <v>5</v>
      </c>
      <c r="K171" s="3" t="s">
        <v>542</v>
      </c>
      <c r="L171" s="3" t="s">
        <v>549</v>
      </c>
      <c r="M171" s="3" t="s">
        <v>11</v>
      </c>
      <c r="N171" s="3">
        <v>0.18</v>
      </c>
      <c r="O171" s="3">
        <v>450000</v>
      </c>
      <c r="P171" s="3">
        <v>80</v>
      </c>
      <c r="Q171" s="3">
        <v>15</v>
      </c>
      <c r="R171" s="3">
        <v>50</v>
      </c>
    </row>
    <row r="172" spans="1:18" x14ac:dyDescent="0.25">
      <c r="A172" s="3" t="s">
        <v>337</v>
      </c>
      <c r="B172" s="3" t="s">
        <v>338</v>
      </c>
      <c r="C172" s="3">
        <v>43</v>
      </c>
      <c r="D172" s="3" t="s">
        <v>29</v>
      </c>
      <c r="E172" s="3" t="s">
        <v>35</v>
      </c>
      <c r="F172" s="3">
        <v>2507.02</v>
      </c>
      <c r="G172" s="3">
        <v>5</v>
      </c>
      <c r="H172" s="3" t="s">
        <v>39</v>
      </c>
      <c r="I172" s="3">
        <v>5</v>
      </c>
      <c r="J172" s="3">
        <v>2</v>
      </c>
      <c r="K172" s="3" t="s">
        <v>546</v>
      </c>
      <c r="L172" s="3" t="s">
        <v>549</v>
      </c>
      <c r="M172" s="3" t="s">
        <v>39</v>
      </c>
      <c r="N172" s="3">
        <v>0.18</v>
      </c>
      <c r="O172" s="3">
        <v>450000</v>
      </c>
      <c r="P172" s="3">
        <v>50</v>
      </c>
      <c r="Q172" s="3">
        <v>15</v>
      </c>
      <c r="R172" s="3">
        <v>50</v>
      </c>
    </row>
    <row r="173" spans="1:18" x14ac:dyDescent="0.25">
      <c r="A173" s="3" t="s">
        <v>339</v>
      </c>
      <c r="B173" s="3" t="s">
        <v>152</v>
      </c>
      <c r="C173" s="3">
        <v>20</v>
      </c>
      <c r="D173" s="3" t="s">
        <v>34</v>
      </c>
      <c r="E173" s="3" t="s">
        <v>21</v>
      </c>
      <c r="F173" s="3">
        <v>495.35</v>
      </c>
      <c r="G173" s="3">
        <v>2</v>
      </c>
      <c r="H173" s="3" t="s">
        <v>36</v>
      </c>
      <c r="I173" s="3">
        <v>3</v>
      </c>
      <c r="J173" s="3">
        <v>1</v>
      </c>
      <c r="K173" s="3" t="s">
        <v>546</v>
      </c>
      <c r="L173" s="3" t="s">
        <v>543</v>
      </c>
      <c r="M173" s="3" t="s">
        <v>11</v>
      </c>
      <c r="N173" s="3">
        <v>0.1</v>
      </c>
      <c r="O173" s="3">
        <v>560000</v>
      </c>
      <c r="P173" s="3">
        <v>80</v>
      </c>
      <c r="Q173" s="3">
        <v>13</v>
      </c>
      <c r="R173" s="3">
        <v>60</v>
      </c>
    </row>
    <row r="174" spans="1:18" x14ac:dyDescent="0.25">
      <c r="A174" s="3" t="s">
        <v>340</v>
      </c>
      <c r="B174" s="3" t="s">
        <v>214</v>
      </c>
      <c r="C174" s="3">
        <v>22</v>
      </c>
      <c r="D174" s="3" t="s">
        <v>54</v>
      </c>
      <c r="E174" s="3" t="s">
        <v>21</v>
      </c>
      <c r="F174" s="3">
        <v>2816.06</v>
      </c>
      <c r="G174" s="3">
        <v>1</v>
      </c>
      <c r="H174" s="3" t="s">
        <v>39</v>
      </c>
      <c r="I174" s="3">
        <v>9</v>
      </c>
      <c r="J174" s="3">
        <v>1</v>
      </c>
      <c r="K174" s="3" t="s">
        <v>546</v>
      </c>
      <c r="L174" s="3" t="s">
        <v>543</v>
      </c>
      <c r="M174" s="3" t="s">
        <v>39</v>
      </c>
      <c r="N174" s="3">
        <v>0.1</v>
      </c>
      <c r="O174" s="3">
        <v>560000</v>
      </c>
      <c r="P174" s="3">
        <v>50</v>
      </c>
      <c r="Q174" s="3">
        <v>13</v>
      </c>
      <c r="R174" s="3">
        <v>60</v>
      </c>
    </row>
    <row r="175" spans="1:18" x14ac:dyDescent="0.25">
      <c r="A175" s="3" t="s">
        <v>341</v>
      </c>
      <c r="B175" s="3" t="s">
        <v>342</v>
      </c>
      <c r="C175" s="3">
        <v>26</v>
      </c>
      <c r="D175" s="3" t="s">
        <v>45</v>
      </c>
      <c r="E175" s="3" t="s">
        <v>21</v>
      </c>
      <c r="F175" s="3">
        <v>4688.0200000000004</v>
      </c>
      <c r="G175" s="3">
        <v>2</v>
      </c>
      <c r="H175" s="3" t="s">
        <v>31</v>
      </c>
      <c r="I175" s="3">
        <v>2</v>
      </c>
      <c r="J175" s="3">
        <v>2</v>
      </c>
      <c r="K175" s="3" t="s">
        <v>546</v>
      </c>
      <c r="L175" s="3" t="s">
        <v>543</v>
      </c>
      <c r="M175" s="3" t="s">
        <v>548</v>
      </c>
      <c r="N175" s="3">
        <v>0.1</v>
      </c>
      <c r="O175" s="3">
        <v>560000</v>
      </c>
      <c r="P175" s="3">
        <v>50</v>
      </c>
      <c r="Q175" s="3">
        <v>13</v>
      </c>
      <c r="R175" s="3">
        <v>60</v>
      </c>
    </row>
    <row r="176" spans="1:18" x14ac:dyDescent="0.25">
      <c r="A176" s="3" t="s">
        <v>343</v>
      </c>
      <c r="B176" s="3" t="s">
        <v>344</v>
      </c>
      <c r="C176" s="3">
        <v>51</v>
      </c>
      <c r="D176" s="3" t="s">
        <v>29</v>
      </c>
      <c r="E176" s="3" t="s">
        <v>26</v>
      </c>
      <c r="F176" s="3">
        <v>1545.27</v>
      </c>
      <c r="G176" s="3">
        <v>1</v>
      </c>
      <c r="H176" s="3" t="s">
        <v>42</v>
      </c>
      <c r="I176" s="3">
        <v>5</v>
      </c>
      <c r="J176" s="3">
        <v>4</v>
      </c>
      <c r="K176" s="3" t="s">
        <v>546</v>
      </c>
      <c r="L176" s="3" t="s">
        <v>545</v>
      </c>
      <c r="M176" s="3" t="s">
        <v>550</v>
      </c>
      <c r="N176" s="3">
        <v>0.12</v>
      </c>
      <c r="O176" s="3">
        <v>240000</v>
      </c>
      <c r="P176" s="3">
        <v>90</v>
      </c>
      <c r="Q176" s="3">
        <v>14</v>
      </c>
      <c r="R176" s="3">
        <v>30</v>
      </c>
    </row>
    <row r="177" spans="1:18" x14ac:dyDescent="0.25">
      <c r="A177" s="3" t="s">
        <v>345</v>
      </c>
      <c r="B177" s="3" t="s">
        <v>319</v>
      </c>
      <c r="C177" s="3">
        <v>21</v>
      </c>
      <c r="D177" s="3" t="s">
        <v>20</v>
      </c>
      <c r="E177" s="3" t="s">
        <v>51</v>
      </c>
      <c r="F177" s="3">
        <v>4781.78</v>
      </c>
      <c r="G177" s="3">
        <v>3</v>
      </c>
      <c r="H177" s="3" t="s">
        <v>39</v>
      </c>
      <c r="I177" s="3">
        <v>8</v>
      </c>
      <c r="J177" s="3">
        <v>4</v>
      </c>
      <c r="K177" s="3" t="s">
        <v>542</v>
      </c>
      <c r="L177" s="3" t="s">
        <v>552</v>
      </c>
      <c r="M177" s="3" t="s">
        <v>39</v>
      </c>
      <c r="N177" s="3">
        <v>0.14000000000000001</v>
      </c>
      <c r="O177" s="3">
        <v>300000</v>
      </c>
      <c r="P177" s="3">
        <v>50</v>
      </c>
      <c r="Q177" s="3">
        <v>12</v>
      </c>
      <c r="R177" s="3">
        <v>70</v>
      </c>
    </row>
    <row r="178" spans="1:18" x14ac:dyDescent="0.25">
      <c r="A178" s="3" t="s">
        <v>346</v>
      </c>
      <c r="B178" s="3" t="s">
        <v>347</v>
      </c>
      <c r="C178" s="3">
        <v>59</v>
      </c>
      <c r="D178" s="3" t="s">
        <v>29</v>
      </c>
      <c r="E178" s="3" t="s">
        <v>35</v>
      </c>
      <c r="F178" s="3">
        <v>1358.01</v>
      </c>
      <c r="G178" s="3">
        <v>5</v>
      </c>
      <c r="H178" s="3" t="s">
        <v>42</v>
      </c>
      <c r="I178" s="3">
        <v>6</v>
      </c>
      <c r="J178" s="3">
        <v>4</v>
      </c>
      <c r="K178" s="3" t="s">
        <v>542</v>
      </c>
      <c r="L178" s="3" t="s">
        <v>549</v>
      </c>
      <c r="M178" s="3" t="s">
        <v>550</v>
      </c>
      <c r="N178" s="3">
        <v>0.18</v>
      </c>
      <c r="O178" s="3">
        <v>450000</v>
      </c>
      <c r="P178" s="3">
        <v>90</v>
      </c>
      <c r="Q178" s="3">
        <v>15</v>
      </c>
      <c r="R178" s="3">
        <v>50</v>
      </c>
    </row>
    <row r="179" spans="1:18" x14ac:dyDescent="0.25">
      <c r="A179" s="3" t="s">
        <v>348</v>
      </c>
      <c r="B179" s="3" t="s">
        <v>300</v>
      </c>
      <c r="C179" s="3">
        <v>19</v>
      </c>
      <c r="D179" s="3" t="s">
        <v>25</v>
      </c>
      <c r="E179" s="3" t="s">
        <v>51</v>
      </c>
      <c r="F179" s="3">
        <v>791.17</v>
      </c>
      <c r="G179" s="3">
        <v>2</v>
      </c>
      <c r="H179" s="3" t="s">
        <v>36</v>
      </c>
      <c r="I179" s="3">
        <v>9</v>
      </c>
      <c r="J179" s="3">
        <v>3</v>
      </c>
      <c r="K179" s="3" t="s">
        <v>546</v>
      </c>
      <c r="L179" s="3" t="s">
        <v>552</v>
      </c>
      <c r="M179" s="3" t="s">
        <v>11</v>
      </c>
      <c r="N179" s="3">
        <v>0.14000000000000001</v>
      </c>
      <c r="O179" s="3">
        <v>300000</v>
      </c>
      <c r="P179" s="3">
        <v>80</v>
      </c>
      <c r="Q179" s="3">
        <v>12</v>
      </c>
      <c r="R179" s="3">
        <v>70</v>
      </c>
    </row>
    <row r="180" spans="1:18" x14ac:dyDescent="0.25">
      <c r="A180" s="3" t="s">
        <v>349</v>
      </c>
      <c r="B180" s="3" t="s">
        <v>350</v>
      </c>
      <c r="C180" s="3">
        <v>32</v>
      </c>
      <c r="D180" s="3" t="s">
        <v>20</v>
      </c>
      <c r="E180" s="3" t="s">
        <v>30</v>
      </c>
      <c r="F180" s="3">
        <v>3412.65</v>
      </c>
      <c r="G180" s="3">
        <v>4</v>
      </c>
      <c r="H180" s="3" t="s">
        <v>39</v>
      </c>
      <c r="I180" s="3">
        <v>1</v>
      </c>
      <c r="J180" s="3">
        <v>3</v>
      </c>
      <c r="K180" s="3" t="s">
        <v>546</v>
      </c>
      <c r="L180" s="3" t="s">
        <v>547</v>
      </c>
      <c r="M180" s="3" t="s">
        <v>39</v>
      </c>
      <c r="N180" s="3">
        <v>0.12</v>
      </c>
      <c r="O180" s="3">
        <v>350000</v>
      </c>
      <c r="P180" s="3">
        <v>50</v>
      </c>
      <c r="Q180" s="3">
        <v>12</v>
      </c>
      <c r="R180" s="3">
        <v>100</v>
      </c>
    </row>
    <row r="181" spans="1:18" x14ac:dyDescent="0.25">
      <c r="A181" s="3" t="s">
        <v>351</v>
      </c>
      <c r="B181" s="3" t="s">
        <v>352</v>
      </c>
      <c r="C181" s="3">
        <v>27</v>
      </c>
      <c r="D181" s="3" t="s">
        <v>34</v>
      </c>
      <c r="E181" s="3" t="s">
        <v>51</v>
      </c>
      <c r="F181" s="3">
        <v>2375.9899999999998</v>
      </c>
      <c r="G181" s="3">
        <v>5</v>
      </c>
      <c r="H181" s="3" t="s">
        <v>42</v>
      </c>
      <c r="I181" s="3">
        <v>8</v>
      </c>
      <c r="J181" s="3">
        <v>4</v>
      </c>
      <c r="K181" s="3" t="s">
        <v>542</v>
      </c>
      <c r="L181" s="3" t="s">
        <v>552</v>
      </c>
      <c r="M181" s="3" t="s">
        <v>550</v>
      </c>
      <c r="N181" s="3">
        <v>0.14000000000000001</v>
      </c>
      <c r="O181" s="3">
        <v>300000</v>
      </c>
      <c r="P181" s="3">
        <v>90</v>
      </c>
      <c r="Q181" s="3">
        <v>12</v>
      </c>
      <c r="R181" s="3">
        <v>70</v>
      </c>
    </row>
    <row r="182" spans="1:18" x14ac:dyDescent="0.25">
      <c r="A182" s="3" t="s">
        <v>353</v>
      </c>
      <c r="B182" s="3" t="s">
        <v>354</v>
      </c>
      <c r="C182" s="3">
        <v>36</v>
      </c>
      <c r="D182" s="3" t="s">
        <v>45</v>
      </c>
      <c r="E182" s="3" t="s">
        <v>26</v>
      </c>
      <c r="F182" s="3">
        <v>2288.9699999999998</v>
      </c>
      <c r="G182" s="3">
        <v>1</v>
      </c>
      <c r="H182" s="3" t="s">
        <v>22</v>
      </c>
      <c r="I182" s="3">
        <v>2</v>
      </c>
      <c r="J182" s="3">
        <v>1</v>
      </c>
      <c r="K182" s="3" t="s">
        <v>546</v>
      </c>
      <c r="L182" s="3" t="s">
        <v>545</v>
      </c>
      <c r="M182" s="3" t="s">
        <v>544</v>
      </c>
      <c r="N182" s="3">
        <v>0.12</v>
      </c>
      <c r="O182" s="3">
        <v>240000</v>
      </c>
      <c r="P182" s="3">
        <v>31</v>
      </c>
      <c r="Q182" s="3">
        <v>14</v>
      </c>
      <c r="R182" s="3">
        <v>30</v>
      </c>
    </row>
    <row r="183" spans="1:18" x14ac:dyDescent="0.25">
      <c r="A183" s="3" t="s">
        <v>355</v>
      </c>
      <c r="B183" s="3" t="s">
        <v>313</v>
      </c>
      <c r="C183" s="3">
        <v>38</v>
      </c>
      <c r="D183" s="3" t="s">
        <v>25</v>
      </c>
      <c r="E183" s="3" t="s">
        <v>21</v>
      </c>
      <c r="F183" s="3">
        <v>1239.43</v>
      </c>
      <c r="G183" s="3">
        <v>1</v>
      </c>
      <c r="H183" s="3" t="s">
        <v>31</v>
      </c>
      <c r="I183" s="3">
        <v>2</v>
      </c>
      <c r="J183" s="3">
        <v>2</v>
      </c>
      <c r="K183" s="3" t="s">
        <v>546</v>
      </c>
      <c r="L183" s="3" t="s">
        <v>543</v>
      </c>
      <c r="M183" s="3" t="s">
        <v>548</v>
      </c>
      <c r="N183" s="3">
        <v>0.1</v>
      </c>
      <c r="O183" s="3">
        <v>560000</v>
      </c>
      <c r="P183" s="3">
        <v>50</v>
      </c>
      <c r="Q183" s="3">
        <v>13</v>
      </c>
      <c r="R183" s="3">
        <v>60</v>
      </c>
    </row>
    <row r="184" spans="1:18" x14ac:dyDescent="0.25">
      <c r="A184" s="3" t="s">
        <v>356</v>
      </c>
      <c r="B184" s="3" t="s">
        <v>357</v>
      </c>
      <c r="C184" s="3">
        <v>18</v>
      </c>
      <c r="D184" s="3" t="s">
        <v>45</v>
      </c>
      <c r="E184" s="3" t="s">
        <v>30</v>
      </c>
      <c r="F184" s="3">
        <v>3557.98</v>
      </c>
      <c r="G184" s="3">
        <v>3</v>
      </c>
      <c r="H184" s="3" t="s">
        <v>36</v>
      </c>
      <c r="I184" s="3">
        <v>5</v>
      </c>
      <c r="J184" s="3">
        <v>1</v>
      </c>
      <c r="K184" s="3" t="s">
        <v>546</v>
      </c>
      <c r="L184" s="3" t="s">
        <v>547</v>
      </c>
      <c r="M184" s="3" t="s">
        <v>11</v>
      </c>
      <c r="N184" s="3">
        <v>0.12</v>
      </c>
      <c r="O184" s="3">
        <v>350000</v>
      </c>
      <c r="P184" s="3">
        <v>80</v>
      </c>
      <c r="Q184" s="3">
        <v>12</v>
      </c>
      <c r="R184" s="3">
        <v>100</v>
      </c>
    </row>
    <row r="185" spans="1:18" x14ac:dyDescent="0.25">
      <c r="A185" s="3" t="s">
        <v>358</v>
      </c>
      <c r="B185" s="3" t="s">
        <v>122</v>
      </c>
      <c r="C185" s="3">
        <v>23</v>
      </c>
      <c r="D185" s="3" t="s">
        <v>45</v>
      </c>
      <c r="E185" s="3" t="s">
        <v>48</v>
      </c>
      <c r="F185" s="3">
        <v>3716.02</v>
      </c>
      <c r="G185" s="3">
        <v>5</v>
      </c>
      <c r="H185" s="3" t="s">
        <v>31</v>
      </c>
      <c r="I185" s="3">
        <v>9</v>
      </c>
      <c r="J185" s="3">
        <v>4</v>
      </c>
      <c r="K185" s="3" t="s">
        <v>542</v>
      </c>
      <c r="L185" s="3" t="s">
        <v>551</v>
      </c>
      <c r="M185" s="3" t="s">
        <v>548</v>
      </c>
      <c r="N185" s="3">
        <v>0.05</v>
      </c>
      <c r="O185" s="3">
        <v>400000</v>
      </c>
      <c r="P185" s="3">
        <v>50</v>
      </c>
      <c r="Q185" s="3">
        <v>7</v>
      </c>
      <c r="R185" s="3">
        <v>40</v>
      </c>
    </row>
    <row r="186" spans="1:18" x14ac:dyDescent="0.25">
      <c r="A186" s="3" t="s">
        <v>359</v>
      </c>
      <c r="B186" s="3" t="s">
        <v>360</v>
      </c>
      <c r="C186" s="3">
        <v>41</v>
      </c>
      <c r="D186" s="3" t="s">
        <v>20</v>
      </c>
      <c r="E186" s="3" t="s">
        <v>30</v>
      </c>
      <c r="F186" s="3">
        <v>766.22</v>
      </c>
      <c r="G186" s="3">
        <v>5</v>
      </c>
      <c r="H186" s="3" t="s">
        <v>42</v>
      </c>
      <c r="I186" s="3">
        <v>9</v>
      </c>
      <c r="J186" s="3">
        <v>4</v>
      </c>
      <c r="K186" s="3" t="s">
        <v>542</v>
      </c>
      <c r="L186" s="3" t="s">
        <v>547</v>
      </c>
      <c r="M186" s="3" t="s">
        <v>550</v>
      </c>
      <c r="N186" s="3">
        <v>0.12</v>
      </c>
      <c r="O186" s="3">
        <v>350000</v>
      </c>
      <c r="P186" s="3">
        <v>90</v>
      </c>
      <c r="Q186" s="3">
        <v>12</v>
      </c>
      <c r="R186" s="3">
        <v>100</v>
      </c>
    </row>
    <row r="187" spans="1:18" x14ac:dyDescent="0.25">
      <c r="A187" s="3" t="s">
        <v>361</v>
      </c>
      <c r="B187" s="3" t="s">
        <v>362</v>
      </c>
      <c r="C187" s="3">
        <v>50</v>
      </c>
      <c r="D187" s="3" t="s">
        <v>25</v>
      </c>
      <c r="E187" s="3" t="s">
        <v>48</v>
      </c>
      <c r="F187" s="3">
        <v>1533.37</v>
      </c>
      <c r="G187" s="3">
        <v>1</v>
      </c>
      <c r="H187" s="3" t="s">
        <v>36</v>
      </c>
      <c r="I187" s="3">
        <v>9</v>
      </c>
      <c r="J187" s="3">
        <v>1</v>
      </c>
      <c r="K187" s="3" t="s">
        <v>546</v>
      </c>
      <c r="L187" s="3" t="s">
        <v>551</v>
      </c>
      <c r="M187" s="3" t="s">
        <v>11</v>
      </c>
      <c r="N187" s="3">
        <v>0.05</v>
      </c>
      <c r="O187" s="3">
        <v>400000</v>
      </c>
      <c r="P187" s="3">
        <v>80</v>
      </c>
      <c r="Q187" s="3">
        <v>7</v>
      </c>
      <c r="R187" s="3">
        <v>40</v>
      </c>
    </row>
    <row r="188" spans="1:18" x14ac:dyDescent="0.25">
      <c r="A188" s="3" t="s">
        <v>363</v>
      </c>
      <c r="B188" s="3" t="s">
        <v>364</v>
      </c>
      <c r="C188" s="3">
        <v>31</v>
      </c>
      <c r="D188" s="3" t="s">
        <v>45</v>
      </c>
      <c r="E188" s="3" t="s">
        <v>48</v>
      </c>
      <c r="F188" s="3">
        <v>2303.31</v>
      </c>
      <c r="G188" s="3">
        <v>4</v>
      </c>
      <c r="H188" s="3" t="s">
        <v>36</v>
      </c>
      <c r="I188" s="3">
        <v>7</v>
      </c>
      <c r="J188" s="3">
        <v>3</v>
      </c>
      <c r="K188" s="3" t="s">
        <v>546</v>
      </c>
      <c r="L188" s="3" t="s">
        <v>551</v>
      </c>
      <c r="M188" s="3" t="s">
        <v>11</v>
      </c>
      <c r="N188" s="3">
        <v>0.05</v>
      </c>
      <c r="O188" s="3">
        <v>400000</v>
      </c>
      <c r="P188" s="3">
        <v>80</v>
      </c>
      <c r="Q188" s="3">
        <v>7</v>
      </c>
      <c r="R188" s="3">
        <v>40</v>
      </c>
    </row>
    <row r="189" spans="1:18" x14ac:dyDescent="0.25">
      <c r="A189" s="3" t="s">
        <v>365</v>
      </c>
      <c r="B189" s="3" t="s">
        <v>50</v>
      </c>
      <c r="C189" s="3">
        <v>29</v>
      </c>
      <c r="D189" s="3" t="s">
        <v>25</v>
      </c>
      <c r="E189" s="3" t="s">
        <v>48</v>
      </c>
      <c r="F189" s="3">
        <v>3105.81</v>
      </c>
      <c r="G189" s="3">
        <v>3</v>
      </c>
      <c r="H189" s="3" t="s">
        <v>31</v>
      </c>
      <c r="I189" s="3">
        <v>5</v>
      </c>
      <c r="J189" s="3">
        <v>5</v>
      </c>
      <c r="K189" s="3" t="s">
        <v>542</v>
      </c>
      <c r="L189" s="3" t="s">
        <v>551</v>
      </c>
      <c r="M189" s="3" t="s">
        <v>548</v>
      </c>
      <c r="N189" s="3">
        <v>0.05</v>
      </c>
      <c r="O189" s="3">
        <v>400000</v>
      </c>
      <c r="P189" s="3">
        <v>50</v>
      </c>
      <c r="Q189" s="3">
        <v>7</v>
      </c>
      <c r="R189" s="3">
        <v>40</v>
      </c>
    </row>
    <row r="190" spans="1:18" x14ac:dyDescent="0.25">
      <c r="A190" s="3" t="s">
        <v>366</v>
      </c>
      <c r="B190" s="3" t="s">
        <v>148</v>
      </c>
      <c r="C190" s="3">
        <v>44</v>
      </c>
      <c r="D190" s="3" t="s">
        <v>54</v>
      </c>
      <c r="E190" s="3" t="s">
        <v>35</v>
      </c>
      <c r="F190" s="3">
        <v>4908.72</v>
      </c>
      <c r="G190" s="3">
        <v>5</v>
      </c>
      <c r="H190" s="3" t="s">
        <v>31</v>
      </c>
      <c r="I190" s="3">
        <v>1</v>
      </c>
      <c r="J190" s="3">
        <v>4</v>
      </c>
      <c r="K190" s="3" t="s">
        <v>542</v>
      </c>
      <c r="L190" s="3" t="s">
        <v>549</v>
      </c>
      <c r="M190" s="3" t="s">
        <v>548</v>
      </c>
      <c r="N190" s="3">
        <v>0.18</v>
      </c>
      <c r="O190" s="3">
        <v>450000</v>
      </c>
      <c r="P190" s="3">
        <v>50</v>
      </c>
      <c r="Q190" s="3">
        <v>15</v>
      </c>
      <c r="R190" s="3">
        <v>50</v>
      </c>
    </row>
    <row r="191" spans="1:18" x14ac:dyDescent="0.25">
      <c r="A191" s="3" t="s">
        <v>367</v>
      </c>
      <c r="B191" s="3" t="s">
        <v>166</v>
      </c>
      <c r="C191" s="3">
        <v>42</v>
      </c>
      <c r="D191" s="3" t="s">
        <v>20</v>
      </c>
      <c r="E191" s="3" t="s">
        <v>30</v>
      </c>
      <c r="F191" s="3">
        <v>2817.36</v>
      </c>
      <c r="G191" s="3">
        <v>3</v>
      </c>
      <c r="H191" s="3" t="s">
        <v>39</v>
      </c>
      <c r="I191" s="3">
        <v>9</v>
      </c>
      <c r="J191" s="3">
        <v>1</v>
      </c>
      <c r="K191" s="3" t="s">
        <v>546</v>
      </c>
      <c r="L191" s="3" t="s">
        <v>547</v>
      </c>
      <c r="M191" s="3" t="s">
        <v>39</v>
      </c>
      <c r="N191" s="3">
        <v>0.12</v>
      </c>
      <c r="O191" s="3">
        <v>350000</v>
      </c>
      <c r="P191" s="3">
        <v>50</v>
      </c>
      <c r="Q191" s="3">
        <v>12</v>
      </c>
      <c r="R191" s="3">
        <v>100</v>
      </c>
    </row>
    <row r="192" spans="1:18" x14ac:dyDescent="0.25">
      <c r="A192" s="3" t="s">
        <v>368</v>
      </c>
      <c r="B192" s="3" t="s">
        <v>331</v>
      </c>
      <c r="C192" s="3">
        <v>60</v>
      </c>
      <c r="D192" s="3" t="s">
        <v>20</v>
      </c>
      <c r="E192" s="3" t="s">
        <v>30</v>
      </c>
      <c r="F192" s="3">
        <v>4861.29</v>
      </c>
      <c r="G192" s="3">
        <v>1</v>
      </c>
      <c r="H192" s="3" t="s">
        <v>22</v>
      </c>
      <c r="I192" s="3">
        <v>4</v>
      </c>
      <c r="J192" s="3">
        <v>3</v>
      </c>
      <c r="K192" s="3" t="s">
        <v>546</v>
      </c>
      <c r="L192" s="3" t="s">
        <v>547</v>
      </c>
      <c r="M192" s="3" t="s">
        <v>544</v>
      </c>
      <c r="N192" s="3">
        <v>0.12</v>
      </c>
      <c r="O192" s="3">
        <v>350000</v>
      </c>
      <c r="P192" s="3">
        <v>31</v>
      </c>
      <c r="Q192" s="3">
        <v>12</v>
      </c>
      <c r="R192" s="3">
        <v>100</v>
      </c>
    </row>
    <row r="193" spans="1:18" x14ac:dyDescent="0.25">
      <c r="A193" s="3" t="s">
        <v>369</v>
      </c>
      <c r="B193" s="3" t="s">
        <v>370</v>
      </c>
      <c r="C193" s="3">
        <v>57</v>
      </c>
      <c r="D193" s="3" t="s">
        <v>20</v>
      </c>
      <c r="E193" s="3" t="s">
        <v>30</v>
      </c>
      <c r="F193" s="3">
        <v>2440.0700000000002</v>
      </c>
      <c r="G193" s="3">
        <v>5</v>
      </c>
      <c r="H193" s="3" t="s">
        <v>42</v>
      </c>
      <c r="I193" s="3">
        <v>5</v>
      </c>
      <c r="J193" s="3">
        <v>3</v>
      </c>
      <c r="K193" s="3" t="s">
        <v>546</v>
      </c>
      <c r="L193" s="3" t="s">
        <v>547</v>
      </c>
      <c r="M193" s="3" t="s">
        <v>550</v>
      </c>
      <c r="N193" s="3">
        <v>0.12</v>
      </c>
      <c r="O193" s="3">
        <v>350000</v>
      </c>
      <c r="P193" s="3">
        <v>90</v>
      </c>
      <c r="Q193" s="3">
        <v>12</v>
      </c>
      <c r="R193" s="3">
        <v>100</v>
      </c>
    </row>
    <row r="194" spans="1:18" x14ac:dyDescent="0.25">
      <c r="A194" s="3" t="s">
        <v>371</v>
      </c>
      <c r="B194" s="3" t="s">
        <v>228</v>
      </c>
      <c r="C194" s="3">
        <v>51</v>
      </c>
      <c r="D194" s="3" t="s">
        <v>54</v>
      </c>
      <c r="E194" s="3" t="s">
        <v>35</v>
      </c>
      <c r="F194" s="3">
        <v>2727.42</v>
      </c>
      <c r="G194" s="3">
        <v>4</v>
      </c>
      <c r="H194" s="3" t="s">
        <v>36</v>
      </c>
      <c r="I194" s="3">
        <v>9</v>
      </c>
      <c r="J194" s="3">
        <v>3</v>
      </c>
      <c r="K194" s="3" t="s">
        <v>546</v>
      </c>
      <c r="L194" s="3" t="s">
        <v>549</v>
      </c>
      <c r="M194" s="3" t="s">
        <v>11</v>
      </c>
      <c r="N194" s="3">
        <v>0.18</v>
      </c>
      <c r="O194" s="3">
        <v>450000</v>
      </c>
      <c r="P194" s="3">
        <v>80</v>
      </c>
      <c r="Q194" s="3">
        <v>15</v>
      </c>
      <c r="R194" s="3">
        <v>50</v>
      </c>
    </row>
    <row r="195" spans="1:18" x14ac:dyDescent="0.25">
      <c r="A195" s="3" t="s">
        <v>372</v>
      </c>
      <c r="B195" s="3" t="s">
        <v>357</v>
      </c>
      <c r="C195" s="3">
        <v>20</v>
      </c>
      <c r="D195" s="3" t="s">
        <v>45</v>
      </c>
      <c r="E195" s="3" t="s">
        <v>30</v>
      </c>
      <c r="F195" s="3">
        <v>4120.1499999999996</v>
      </c>
      <c r="G195" s="3">
        <v>1</v>
      </c>
      <c r="H195" s="3" t="s">
        <v>22</v>
      </c>
      <c r="I195" s="3">
        <v>3</v>
      </c>
      <c r="J195" s="3">
        <v>4</v>
      </c>
      <c r="K195" s="3" t="s">
        <v>546</v>
      </c>
      <c r="L195" s="3" t="s">
        <v>547</v>
      </c>
      <c r="M195" s="3" t="s">
        <v>544</v>
      </c>
      <c r="N195" s="3">
        <v>0.12</v>
      </c>
      <c r="O195" s="3">
        <v>350000</v>
      </c>
      <c r="P195" s="3">
        <v>31</v>
      </c>
      <c r="Q195" s="3">
        <v>12</v>
      </c>
      <c r="R195" s="3">
        <v>100</v>
      </c>
    </row>
    <row r="196" spans="1:18" x14ac:dyDescent="0.25">
      <c r="A196" s="3" t="s">
        <v>373</v>
      </c>
      <c r="B196" s="3" t="s">
        <v>374</v>
      </c>
      <c r="C196" s="3">
        <v>60</v>
      </c>
      <c r="D196" s="3" t="s">
        <v>45</v>
      </c>
      <c r="E196" s="3" t="s">
        <v>35</v>
      </c>
      <c r="F196" s="3">
        <v>3473.2</v>
      </c>
      <c r="G196" s="3">
        <v>2</v>
      </c>
      <c r="H196" s="3" t="s">
        <v>31</v>
      </c>
      <c r="I196" s="3">
        <v>3</v>
      </c>
      <c r="J196" s="3">
        <v>2</v>
      </c>
      <c r="K196" s="3" t="s">
        <v>546</v>
      </c>
      <c r="L196" s="3" t="s">
        <v>549</v>
      </c>
      <c r="M196" s="3" t="s">
        <v>548</v>
      </c>
      <c r="N196" s="3">
        <v>0.18</v>
      </c>
      <c r="O196" s="3">
        <v>450000</v>
      </c>
      <c r="P196" s="3">
        <v>50</v>
      </c>
      <c r="Q196" s="3">
        <v>15</v>
      </c>
      <c r="R196" s="3">
        <v>50</v>
      </c>
    </row>
    <row r="197" spans="1:18" x14ac:dyDescent="0.25">
      <c r="A197" s="3" t="s">
        <v>375</v>
      </c>
      <c r="B197" s="3" t="s">
        <v>376</v>
      </c>
      <c r="C197" s="3">
        <v>20</v>
      </c>
      <c r="D197" s="3" t="s">
        <v>29</v>
      </c>
      <c r="E197" s="3" t="s">
        <v>51</v>
      </c>
      <c r="F197" s="3">
        <v>3405.19</v>
      </c>
      <c r="G197" s="3">
        <v>4</v>
      </c>
      <c r="H197" s="3" t="s">
        <v>36</v>
      </c>
      <c r="I197" s="3">
        <v>10</v>
      </c>
      <c r="J197" s="3">
        <v>5</v>
      </c>
      <c r="K197" s="3" t="s">
        <v>542</v>
      </c>
      <c r="L197" s="3" t="s">
        <v>552</v>
      </c>
      <c r="M197" s="3" t="s">
        <v>11</v>
      </c>
      <c r="N197" s="3">
        <v>0.14000000000000001</v>
      </c>
      <c r="O197" s="3">
        <v>300000</v>
      </c>
      <c r="P197" s="3">
        <v>80</v>
      </c>
      <c r="Q197" s="3">
        <v>12</v>
      </c>
      <c r="R197" s="3">
        <v>70</v>
      </c>
    </row>
    <row r="198" spans="1:18" x14ac:dyDescent="0.25">
      <c r="A198" s="3" t="s">
        <v>377</v>
      </c>
      <c r="B198" s="3" t="s">
        <v>88</v>
      </c>
      <c r="C198" s="3">
        <v>20</v>
      </c>
      <c r="D198" s="3" t="s">
        <v>29</v>
      </c>
      <c r="E198" s="3" t="s">
        <v>51</v>
      </c>
      <c r="F198" s="3">
        <v>4597.17</v>
      </c>
      <c r="G198" s="3">
        <v>1</v>
      </c>
      <c r="H198" s="3" t="s">
        <v>36</v>
      </c>
      <c r="I198" s="3">
        <v>2</v>
      </c>
      <c r="J198" s="3">
        <v>1</v>
      </c>
      <c r="K198" s="3" t="s">
        <v>546</v>
      </c>
      <c r="L198" s="3" t="s">
        <v>552</v>
      </c>
      <c r="M198" s="3" t="s">
        <v>11</v>
      </c>
      <c r="N198" s="3">
        <v>0.14000000000000001</v>
      </c>
      <c r="O198" s="3">
        <v>300000</v>
      </c>
      <c r="P198" s="3">
        <v>80</v>
      </c>
      <c r="Q198" s="3">
        <v>12</v>
      </c>
      <c r="R198" s="3">
        <v>70</v>
      </c>
    </row>
    <row r="199" spans="1:18" x14ac:dyDescent="0.25">
      <c r="A199" s="3" t="s">
        <v>378</v>
      </c>
      <c r="B199" s="3" t="s">
        <v>379</v>
      </c>
      <c r="C199" s="3">
        <v>47</v>
      </c>
      <c r="D199" s="3" t="s">
        <v>45</v>
      </c>
      <c r="E199" s="3" t="s">
        <v>35</v>
      </c>
      <c r="F199" s="3">
        <v>1173.99</v>
      </c>
      <c r="G199" s="3">
        <v>2</v>
      </c>
      <c r="H199" s="3" t="s">
        <v>36</v>
      </c>
      <c r="I199" s="3">
        <v>3</v>
      </c>
      <c r="J199" s="3">
        <v>2</v>
      </c>
      <c r="K199" s="3" t="s">
        <v>546</v>
      </c>
      <c r="L199" s="3" t="s">
        <v>549</v>
      </c>
      <c r="M199" s="3" t="s">
        <v>11</v>
      </c>
      <c r="N199" s="3">
        <v>0.18</v>
      </c>
      <c r="O199" s="3">
        <v>450000</v>
      </c>
      <c r="P199" s="3">
        <v>80</v>
      </c>
      <c r="Q199" s="3">
        <v>15</v>
      </c>
      <c r="R199" s="3">
        <v>50</v>
      </c>
    </row>
    <row r="200" spans="1:18" x14ac:dyDescent="0.25">
      <c r="A200" s="3" t="s">
        <v>380</v>
      </c>
      <c r="B200" s="3" t="s">
        <v>381</v>
      </c>
      <c r="C200" s="3">
        <v>55</v>
      </c>
      <c r="D200" s="3" t="s">
        <v>54</v>
      </c>
      <c r="E200" s="3" t="s">
        <v>48</v>
      </c>
      <c r="F200" s="3">
        <v>2657.07</v>
      </c>
      <c r="G200" s="3">
        <v>4</v>
      </c>
      <c r="H200" s="3" t="s">
        <v>36</v>
      </c>
      <c r="I200" s="3">
        <v>10</v>
      </c>
      <c r="J200" s="3">
        <v>2</v>
      </c>
      <c r="K200" s="3" t="s">
        <v>546</v>
      </c>
      <c r="L200" s="3" t="s">
        <v>551</v>
      </c>
      <c r="M200" s="3" t="s">
        <v>11</v>
      </c>
      <c r="N200" s="3">
        <v>0.05</v>
      </c>
      <c r="O200" s="3">
        <v>400000</v>
      </c>
      <c r="P200" s="3">
        <v>80</v>
      </c>
      <c r="Q200" s="3">
        <v>7</v>
      </c>
      <c r="R200" s="3">
        <v>40</v>
      </c>
    </row>
    <row r="201" spans="1:18" x14ac:dyDescent="0.25">
      <c r="A201" s="3" t="s">
        <v>382</v>
      </c>
      <c r="B201" s="3" t="s">
        <v>383</v>
      </c>
      <c r="C201" s="3">
        <v>19</v>
      </c>
      <c r="D201" s="3" t="s">
        <v>34</v>
      </c>
      <c r="E201" s="3" t="s">
        <v>26</v>
      </c>
      <c r="F201" s="3">
        <v>612.82000000000005</v>
      </c>
      <c r="G201" s="3">
        <v>2</v>
      </c>
      <c r="H201" s="3" t="s">
        <v>39</v>
      </c>
      <c r="I201" s="3">
        <v>4</v>
      </c>
      <c r="J201" s="3">
        <v>1</v>
      </c>
      <c r="K201" s="3" t="s">
        <v>546</v>
      </c>
      <c r="L201" s="3" t="s">
        <v>545</v>
      </c>
      <c r="M201" s="3" t="s">
        <v>39</v>
      </c>
      <c r="N201" s="3">
        <v>0.12</v>
      </c>
      <c r="O201" s="3">
        <v>240000</v>
      </c>
      <c r="P201" s="3">
        <v>50</v>
      </c>
      <c r="Q201" s="3">
        <v>14</v>
      </c>
      <c r="R201" s="3">
        <v>30</v>
      </c>
    </row>
    <row r="202" spans="1:18" x14ac:dyDescent="0.25">
      <c r="A202" s="3" t="s">
        <v>384</v>
      </c>
      <c r="B202" s="3" t="s">
        <v>383</v>
      </c>
      <c r="C202" s="3">
        <v>52</v>
      </c>
      <c r="D202" s="3" t="s">
        <v>45</v>
      </c>
      <c r="E202" s="3" t="s">
        <v>30</v>
      </c>
      <c r="F202" s="3">
        <v>1465.87</v>
      </c>
      <c r="G202" s="3">
        <v>4</v>
      </c>
      <c r="H202" s="3" t="s">
        <v>42</v>
      </c>
      <c r="I202" s="3">
        <v>7</v>
      </c>
      <c r="J202" s="3">
        <v>3</v>
      </c>
      <c r="K202" s="3" t="s">
        <v>546</v>
      </c>
      <c r="L202" s="3" t="s">
        <v>547</v>
      </c>
      <c r="M202" s="3" t="s">
        <v>550</v>
      </c>
      <c r="N202" s="3">
        <v>0.12</v>
      </c>
      <c r="O202" s="3">
        <v>350000</v>
      </c>
      <c r="P202" s="3">
        <v>90</v>
      </c>
      <c r="Q202" s="3">
        <v>12</v>
      </c>
      <c r="R202" s="3">
        <v>100</v>
      </c>
    </row>
    <row r="203" spans="1:18" x14ac:dyDescent="0.25">
      <c r="A203" s="3" t="s">
        <v>385</v>
      </c>
      <c r="B203" s="3" t="s">
        <v>386</v>
      </c>
      <c r="C203" s="3">
        <v>59</v>
      </c>
      <c r="D203" s="3" t="s">
        <v>45</v>
      </c>
      <c r="E203" s="3" t="s">
        <v>26</v>
      </c>
      <c r="F203" s="3">
        <v>2777.35</v>
      </c>
      <c r="G203" s="3">
        <v>1</v>
      </c>
      <c r="H203" s="3" t="s">
        <v>31</v>
      </c>
      <c r="I203" s="3">
        <v>6</v>
      </c>
      <c r="J203" s="3">
        <v>4</v>
      </c>
      <c r="K203" s="3" t="s">
        <v>546</v>
      </c>
      <c r="L203" s="3" t="s">
        <v>545</v>
      </c>
      <c r="M203" s="3" t="s">
        <v>548</v>
      </c>
      <c r="N203" s="3">
        <v>0.12</v>
      </c>
      <c r="O203" s="3">
        <v>240000</v>
      </c>
      <c r="P203" s="3">
        <v>50</v>
      </c>
      <c r="Q203" s="3">
        <v>14</v>
      </c>
      <c r="R203" s="3">
        <v>30</v>
      </c>
    </row>
    <row r="204" spans="1:18" x14ac:dyDescent="0.25">
      <c r="A204" s="3" t="s">
        <v>387</v>
      </c>
      <c r="B204" s="3" t="s">
        <v>388</v>
      </c>
      <c r="C204" s="3">
        <v>27</v>
      </c>
      <c r="D204" s="3" t="s">
        <v>54</v>
      </c>
      <c r="E204" s="3" t="s">
        <v>51</v>
      </c>
      <c r="F204" s="3">
        <v>2052.02</v>
      </c>
      <c r="G204" s="3">
        <v>2</v>
      </c>
      <c r="H204" s="3" t="s">
        <v>42</v>
      </c>
      <c r="I204" s="3">
        <v>1</v>
      </c>
      <c r="J204" s="3">
        <v>3</v>
      </c>
      <c r="K204" s="3" t="s">
        <v>546</v>
      </c>
      <c r="L204" s="3" t="s">
        <v>552</v>
      </c>
      <c r="M204" s="3" t="s">
        <v>550</v>
      </c>
      <c r="N204" s="3">
        <v>0.14000000000000001</v>
      </c>
      <c r="O204" s="3">
        <v>300000</v>
      </c>
      <c r="P204" s="3">
        <v>90</v>
      </c>
      <c r="Q204" s="3">
        <v>12</v>
      </c>
      <c r="R204" s="3">
        <v>70</v>
      </c>
    </row>
    <row r="205" spans="1:18" x14ac:dyDescent="0.25">
      <c r="A205" s="3" t="s">
        <v>389</v>
      </c>
      <c r="B205" s="3" t="s">
        <v>390</v>
      </c>
      <c r="C205" s="3">
        <v>32</v>
      </c>
      <c r="D205" s="3" t="s">
        <v>45</v>
      </c>
      <c r="E205" s="3" t="s">
        <v>26</v>
      </c>
      <c r="F205" s="3">
        <v>2557.85</v>
      </c>
      <c r="G205" s="3">
        <v>5</v>
      </c>
      <c r="H205" s="3" t="s">
        <v>31</v>
      </c>
      <c r="I205" s="3">
        <v>6</v>
      </c>
      <c r="J205" s="3">
        <v>4</v>
      </c>
      <c r="K205" s="3" t="s">
        <v>542</v>
      </c>
      <c r="L205" s="3" t="s">
        <v>545</v>
      </c>
      <c r="M205" s="3" t="s">
        <v>548</v>
      </c>
      <c r="N205" s="3">
        <v>0.12</v>
      </c>
      <c r="O205" s="3">
        <v>240000</v>
      </c>
      <c r="P205" s="3">
        <v>50</v>
      </c>
      <c r="Q205" s="3">
        <v>14</v>
      </c>
      <c r="R205" s="3">
        <v>30</v>
      </c>
    </row>
    <row r="206" spans="1:18" x14ac:dyDescent="0.25">
      <c r="A206" s="3" t="s">
        <v>391</v>
      </c>
      <c r="B206" s="3" t="s">
        <v>388</v>
      </c>
      <c r="C206" s="3">
        <v>25</v>
      </c>
      <c r="D206" s="3" t="s">
        <v>29</v>
      </c>
      <c r="E206" s="3" t="s">
        <v>30</v>
      </c>
      <c r="F206" s="3">
        <v>2261.29</v>
      </c>
      <c r="G206" s="3">
        <v>2</v>
      </c>
      <c r="H206" s="3" t="s">
        <v>39</v>
      </c>
      <c r="I206" s="3">
        <v>10</v>
      </c>
      <c r="J206" s="3">
        <v>1</v>
      </c>
      <c r="K206" s="3" t="s">
        <v>546</v>
      </c>
      <c r="L206" s="3" t="s">
        <v>547</v>
      </c>
      <c r="M206" s="3" t="s">
        <v>39</v>
      </c>
      <c r="N206" s="3">
        <v>0.12</v>
      </c>
      <c r="O206" s="3">
        <v>350000</v>
      </c>
      <c r="P206" s="3">
        <v>50</v>
      </c>
      <c r="Q206" s="3">
        <v>12</v>
      </c>
      <c r="R206" s="3">
        <v>100</v>
      </c>
    </row>
    <row r="207" spans="1:18" x14ac:dyDescent="0.25">
      <c r="A207" s="3" t="s">
        <v>392</v>
      </c>
      <c r="B207" s="3" t="s">
        <v>393</v>
      </c>
      <c r="C207" s="3">
        <v>23</v>
      </c>
      <c r="D207" s="3" t="s">
        <v>45</v>
      </c>
      <c r="E207" s="3" t="s">
        <v>35</v>
      </c>
      <c r="F207" s="3">
        <v>4030.04</v>
      </c>
      <c r="G207" s="3">
        <v>2</v>
      </c>
      <c r="H207" s="3" t="s">
        <v>31</v>
      </c>
      <c r="I207" s="3">
        <v>6</v>
      </c>
      <c r="J207" s="3">
        <v>4</v>
      </c>
      <c r="K207" s="3" t="s">
        <v>546</v>
      </c>
      <c r="L207" s="3" t="s">
        <v>549</v>
      </c>
      <c r="M207" s="3" t="s">
        <v>548</v>
      </c>
      <c r="N207" s="3">
        <v>0.18</v>
      </c>
      <c r="O207" s="3">
        <v>450000</v>
      </c>
      <c r="P207" s="3">
        <v>50</v>
      </c>
      <c r="Q207" s="3">
        <v>15</v>
      </c>
      <c r="R207" s="3">
        <v>50</v>
      </c>
    </row>
    <row r="208" spans="1:18" x14ac:dyDescent="0.25">
      <c r="A208" s="3" t="s">
        <v>394</v>
      </c>
      <c r="B208" s="3" t="s">
        <v>395</v>
      </c>
      <c r="C208" s="3">
        <v>37</v>
      </c>
      <c r="D208" s="3" t="s">
        <v>45</v>
      </c>
      <c r="E208" s="3" t="s">
        <v>48</v>
      </c>
      <c r="F208" s="3">
        <v>3769.18</v>
      </c>
      <c r="G208" s="3">
        <v>2</v>
      </c>
      <c r="H208" s="3" t="s">
        <v>42</v>
      </c>
      <c r="I208" s="3">
        <v>7</v>
      </c>
      <c r="J208" s="3">
        <v>3</v>
      </c>
      <c r="K208" s="3" t="s">
        <v>546</v>
      </c>
      <c r="L208" s="3" t="s">
        <v>551</v>
      </c>
      <c r="M208" s="3" t="s">
        <v>550</v>
      </c>
      <c r="N208" s="3">
        <v>0.05</v>
      </c>
      <c r="O208" s="3">
        <v>400000</v>
      </c>
      <c r="P208" s="3">
        <v>90</v>
      </c>
      <c r="Q208" s="3">
        <v>7</v>
      </c>
      <c r="R208" s="3">
        <v>40</v>
      </c>
    </row>
    <row r="209" spans="1:18" x14ac:dyDescent="0.25">
      <c r="A209" s="3" t="s">
        <v>396</v>
      </c>
      <c r="B209" s="3" t="s">
        <v>390</v>
      </c>
      <c r="C209" s="3">
        <v>29</v>
      </c>
      <c r="D209" s="3" t="s">
        <v>45</v>
      </c>
      <c r="E209" s="3" t="s">
        <v>30</v>
      </c>
      <c r="F209" s="3">
        <v>780.84</v>
      </c>
      <c r="G209" s="3">
        <v>4</v>
      </c>
      <c r="H209" s="3" t="s">
        <v>22</v>
      </c>
      <c r="I209" s="3">
        <v>4</v>
      </c>
      <c r="J209" s="3">
        <v>2</v>
      </c>
      <c r="K209" s="3" t="s">
        <v>546</v>
      </c>
      <c r="L209" s="3" t="s">
        <v>547</v>
      </c>
      <c r="M209" s="3" t="s">
        <v>544</v>
      </c>
      <c r="N209" s="3">
        <v>0.12</v>
      </c>
      <c r="O209" s="3">
        <v>350000</v>
      </c>
      <c r="P209" s="3">
        <v>31</v>
      </c>
      <c r="Q209" s="3">
        <v>12</v>
      </c>
      <c r="R209" s="3">
        <v>100</v>
      </c>
    </row>
    <row r="210" spans="1:18" x14ac:dyDescent="0.25">
      <c r="A210" s="3" t="s">
        <v>397</v>
      </c>
      <c r="B210" s="3" t="s">
        <v>214</v>
      </c>
      <c r="C210" s="3">
        <v>56</v>
      </c>
      <c r="D210" s="3" t="s">
        <v>20</v>
      </c>
      <c r="E210" s="3" t="s">
        <v>51</v>
      </c>
      <c r="F210" s="3">
        <v>2648.97</v>
      </c>
      <c r="G210" s="3">
        <v>1</v>
      </c>
      <c r="H210" s="3" t="s">
        <v>31</v>
      </c>
      <c r="I210" s="3">
        <v>3</v>
      </c>
      <c r="J210" s="3">
        <v>1</v>
      </c>
      <c r="K210" s="3" t="s">
        <v>546</v>
      </c>
      <c r="L210" s="3" t="s">
        <v>552</v>
      </c>
      <c r="M210" s="3" t="s">
        <v>548</v>
      </c>
      <c r="N210" s="3">
        <v>0.14000000000000001</v>
      </c>
      <c r="O210" s="3">
        <v>300000</v>
      </c>
      <c r="P210" s="3">
        <v>50</v>
      </c>
      <c r="Q210" s="3">
        <v>12</v>
      </c>
      <c r="R210" s="3">
        <v>70</v>
      </c>
    </row>
    <row r="211" spans="1:18" x14ac:dyDescent="0.25">
      <c r="A211" s="3" t="s">
        <v>398</v>
      </c>
      <c r="B211" s="3" t="s">
        <v>399</v>
      </c>
      <c r="C211" s="3">
        <v>18</v>
      </c>
      <c r="D211" s="3" t="s">
        <v>34</v>
      </c>
      <c r="E211" s="3" t="s">
        <v>26</v>
      </c>
      <c r="F211" s="3">
        <v>1049.01</v>
      </c>
      <c r="G211" s="3">
        <v>3</v>
      </c>
      <c r="H211" s="3" t="s">
        <v>22</v>
      </c>
      <c r="I211" s="3">
        <v>1</v>
      </c>
      <c r="J211" s="3">
        <v>1</v>
      </c>
      <c r="K211" s="3" t="s">
        <v>546</v>
      </c>
      <c r="L211" s="3" t="s">
        <v>545</v>
      </c>
      <c r="M211" s="3" t="s">
        <v>544</v>
      </c>
      <c r="N211" s="3">
        <v>0.12</v>
      </c>
      <c r="O211" s="3">
        <v>240000</v>
      </c>
      <c r="P211" s="3">
        <v>31</v>
      </c>
      <c r="Q211" s="3">
        <v>14</v>
      </c>
      <c r="R211" s="3">
        <v>30</v>
      </c>
    </row>
    <row r="212" spans="1:18" x14ac:dyDescent="0.25">
      <c r="A212" s="3" t="s">
        <v>400</v>
      </c>
      <c r="B212" s="3" t="s">
        <v>115</v>
      </c>
      <c r="C212" s="3">
        <v>59</v>
      </c>
      <c r="D212" s="3" t="s">
        <v>54</v>
      </c>
      <c r="E212" s="3" t="s">
        <v>35</v>
      </c>
      <c r="F212" s="3">
        <v>1462.12</v>
      </c>
      <c r="G212" s="3">
        <v>2</v>
      </c>
      <c r="H212" s="3" t="s">
        <v>31</v>
      </c>
      <c r="I212" s="3">
        <v>9</v>
      </c>
      <c r="J212" s="3">
        <v>2</v>
      </c>
      <c r="K212" s="3" t="s">
        <v>546</v>
      </c>
      <c r="L212" s="3" t="s">
        <v>549</v>
      </c>
      <c r="M212" s="3" t="s">
        <v>548</v>
      </c>
      <c r="N212" s="3">
        <v>0.18</v>
      </c>
      <c r="O212" s="3">
        <v>450000</v>
      </c>
      <c r="P212" s="3">
        <v>50</v>
      </c>
      <c r="Q212" s="3">
        <v>15</v>
      </c>
      <c r="R212" s="3">
        <v>50</v>
      </c>
    </row>
    <row r="213" spans="1:18" x14ac:dyDescent="0.25">
      <c r="A213" s="3" t="s">
        <v>401</v>
      </c>
      <c r="B213" s="3" t="s">
        <v>395</v>
      </c>
      <c r="C213" s="3">
        <v>34</v>
      </c>
      <c r="D213" s="3" t="s">
        <v>34</v>
      </c>
      <c r="E213" s="3" t="s">
        <v>30</v>
      </c>
      <c r="F213" s="3">
        <v>1275.3800000000001</v>
      </c>
      <c r="G213" s="3">
        <v>1</v>
      </c>
      <c r="H213" s="3" t="s">
        <v>22</v>
      </c>
      <c r="I213" s="3">
        <v>9</v>
      </c>
      <c r="J213" s="3">
        <v>2</v>
      </c>
      <c r="K213" s="3" t="s">
        <v>546</v>
      </c>
      <c r="L213" s="3" t="s">
        <v>547</v>
      </c>
      <c r="M213" s="3" t="s">
        <v>544</v>
      </c>
      <c r="N213" s="3">
        <v>0.12</v>
      </c>
      <c r="O213" s="3">
        <v>350000</v>
      </c>
      <c r="P213" s="3">
        <v>31</v>
      </c>
      <c r="Q213" s="3">
        <v>12</v>
      </c>
      <c r="R213" s="3">
        <v>100</v>
      </c>
    </row>
    <row r="214" spans="1:18" x14ac:dyDescent="0.25">
      <c r="A214" s="3" t="s">
        <v>402</v>
      </c>
      <c r="B214" s="3" t="s">
        <v>403</v>
      </c>
      <c r="C214" s="3">
        <v>57</v>
      </c>
      <c r="D214" s="3" t="s">
        <v>34</v>
      </c>
      <c r="E214" s="3" t="s">
        <v>30</v>
      </c>
      <c r="F214" s="3">
        <v>255.76</v>
      </c>
      <c r="G214" s="3">
        <v>3</v>
      </c>
      <c r="H214" s="3" t="s">
        <v>22</v>
      </c>
      <c r="I214" s="3">
        <v>3</v>
      </c>
      <c r="J214" s="3">
        <v>4</v>
      </c>
      <c r="K214" s="3" t="s">
        <v>542</v>
      </c>
      <c r="L214" s="3" t="s">
        <v>547</v>
      </c>
      <c r="M214" s="3" t="s">
        <v>544</v>
      </c>
      <c r="N214" s="3">
        <v>0.12</v>
      </c>
      <c r="O214" s="3">
        <v>350000</v>
      </c>
      <c r="P214" s="3">
        <v>31</v>
      </c>
      <c r="Q214" s="3">
        <v>12</v>
      </c>
      <c r="R214" s="3">
        <v>100</v>
      </c>
    </row>
    <row r="215" spans="1:18" x14ac:dyDescent="0.25">
      <c r="A215" s="3" t="s">
        <v>404</v>
      </c>
      <c r="B215" s="3" t="s">
        <v>405</v>
      </c>
      <c r="C215" s="3">
        <v>18</v>
      </c>
      <c r="D215" s="3" t="s">
        <v>34</v>
      </c>
      <c r="E215" s="3" t="s">
        <v>51</v>
      </c>
      <c r="F215" s="3">
        <v>3330.77</v>
      </c>
      <c r="G215" s="3">
        <v>1</v>
      </c>
      <c r="H215" s="3" t="s">
        <v>22</v>
      </c>
      <c r="I215" s="3">
        <v>2</v>
      </c>
      <c r="J215" s="3">
        <v>5</v>
      </c>
      <c r="K215" s="3" t="s">
        <v>546</v>
      </c>
      <c r="L215" s="3" t="s">
        <v>552</v>
      </c>
      <c r="M215" s="3" t="s">
        <v>544</v>
      </c>
      <c r="N215" s="3">
        <v>0.14000000000000001</v>
      </c>
      <c r="O215" s="3">
        <v>300000</v>
      </c>
      <c r="P215" s="3">
        <v>31</v>
      </c>
      <c r="Q215" s="3">
        <v>12</v>
      </c>
      <c r="R215" s="3">
        <v>70</v>
      </c>
    </row>
    <row r="216" spans="1:18" x14ac:dyDescent="0.25">
      <c r="A216" s="3" t="s">
        <v>406</v>
      </c>
      <c r="B216" s="3" t="s">
        <v>200</v>
      </c>
      <c r="C216" s="3">
        <v>27</v>
      </c>
      <c r="D216" s="3" t="s">
        <v>20</v>
      </c>
      <c r="E216" s="3" t="s">
        <v>48</v>
      </c>
      <c r="F216" s="3">
        <v>4382.78</v>
      </c>
      <c r="G216" s="3">
        <v>4</v>
      </c>
      <c r="H216" s="3" t="s">
        <v>31</v>
      </c>
      <c r="I216" s="3">
        <v>1</v>
      </c>
      <c r="J216" s="3">
        <v>2</v>
      </c>
      <c r="K216" s="3" t="s">
        <v>546</v>
      </c>
      <c r="L216" s="3" t="s">
        <v>551</v>
      </c>
      <c r="M216" s="3" t="s">
        <v>548</v>
      </c>
      <c r="N216" s="3">
        <v>0.05</v>
      </c>
      <c r="O216" s="3">
        <v>400000</v>
      </c>
      <c r="P216" s="3">
        <v>50</v>
      </c>
      <c r="Q216" s="3">
        <v>7</v>
      </c>
      <c r="R216" s="3">
        <v>40</v>
      </c>
    </row>
    <row r="217" spans="1:18" x14ac:dyDescent="0.25">
      <c r="A217" s="3" t="s">
        <v>407</v>
      </c>
      <c r="B217" s="3" t="s">
        <v>350</v>
      </c>
      <c r="C217" s="3">
        <v>50</v>
      </c>
      <c r="D217" s="3" t="s">
        <v>45</v>
      </c>
      <c r="E217" s="3" t="s">
        <v>21</v>
      </c>
      <c r="F217" s="3">
        <v>4287.13</v>
      </c>
      <c r="G217" s="3">
        <v>4</v>
      </c>
      <c r="H217" s="3" t="s">
        <v>36</v>
      </c>
      <c r="I217" s="3">
        <v>3</v>
      </c>
      <c r="J217" s="3">
        <v>4</v>
      </c>
      <c r="K217" s="3" t="s">
        <v>542</v>
      </c>
      <c r="L217" s="3" t="s">
        <v>543</v>
      </c>
      <c r="M217" s="3" t="s">
        <v>11</v>
      </c>
      <c r="N217" s="3">
        <v>0.1</v>
      </c>
      <c r="O217" s="3">
        <v>560000</v>
      </c>
      <c r="P217" s="3">
        <v>80</v>
      </c>
      <c r="Q217" s="3">
        <v>13</v>
      </c>
      <c r="R217" s="3">
        <v>60</v>
      </c>
    </row>
    <row r="218" spans="1:18" x14ac:dyDescent="0.25">
      <c r="A218" s="3" t="s">
        <v>408</v>
      </c>
      <c r="B218" s="3" t="s">
        <v>409</v>
      </c>
      <c r="C218" s="3">
        <v>59</v>
      </c>
      <c r="D218" s="3" t="s">
        <v>25</v>
      </c>
      <c r="E218" s="3" t="s">
        <v>35</v>
      </c>
      <c r="F218" s="3">
        <v>2745.54</v>
      </c>
      <c r="G218" s="3">
        <v>5</v>
      </c>
      <c r="H218" s="3" t="s">
        <v>42</v>
      </c>
      <c r="I218" s="3">
        <v>2</v>
      </c>
      <c r="J218" s="3">
        <v>3</v>
      </c>
      <c r="K218" s="3" t="s">
        <v>546</v>
      </c>
      <c r="L218" s="3" t="s">
        <v>549</v>
      </c>
      <c r="M218" s="3" t="s">
        <v>550</v>
      </c>
      <c r="N218" s="3">
        <v>0.18</v>
      </c>
      <c r="O218" s="3">
        <v>450000</v>
      </c>
      <c r="P218" s="3">
        <v>90</v>
      </c>
      <c r="Q218" s="3">
        <v>15</v>
      </c>
      <c r="R218" s="3">
        <v>50</v>
      </c>
    </row>
    <row r="219" spans="1:18" x14ac:dyDescent="0.25">
      <c r="A219" s="3" t="s">
        <v>410</v>
      </c>
      <c r="B219" s="3" t="s">
        <v>84</v>
      </c>
      <c r="C219" s="3">
        <v>60</v>
      </c>
      <c r="D219" s="3" t="s">
        <v>20</v>
      </c>
      <c r="E219" s="3" t="s">
        <v>48</v>
      </c>
      <c r="F219" s="3">
        <v>4645.87</v>
      </c>
      <c r="G219" s="3">
        <v>3</v>
      </c>
      <c r="H219" s="3" t="s">
        <v>39</v>
      </c>
      <c r="I219" s="3">
        <v>10</v>
      </c>
      <c r="J219" s="3">
        <v>1</v>
      </c>
      <c r="K219" s="3" t="s">
        <v>546</v>
      </c>
      <c r="L219" s="3" t="s">
        <v>551</v>
      </c>
      <c r="M219" s="3" t="s">
        <v>39</v>
      </c>
      <c r="N219" s="3">
        <v>0.05</v>
      </c>
      <c r="O219" s="3">
        <v>400000</v>
      </c>
      <c r="P219" s="3">
        <v>50</v>
      </c>
      <c r="Q219" s="3">
        <v>7</v>
      </c>
      <c r="R219" s="3">
        <v>40</v>
      </c>
    </row>
    <row r="220" spans="1:18" x14ac:dyDescent="0.25">
      <c r="A220" s="3" t="s">
        <v>411</v>
      </c>
      <c r="B220" s="3" t="s">
        <v>66</v>
      </c>
      <c r="C220" s="3">
        <v>34</v>
      </c>
      <c r="D220" s="3" t="s">
        <v>29</v>
      </c>
      <c r="E220" s="3" t="s">
        <v>21</v>
      </c>
      <c r="F220" s="3">
        <v>3087.5</v>
      </c>
      <c r="G220" s="3">
        <v>2</v>
      </c>
      <c r="H220" s="3" t="s">
        <v>39</v>
      </c>
      <c r="I220" s="3">
        <v>2</v>
      </c>
      <c r="J220" s="3">
        <v>4</v>
      </c>
      <c r="K220" s="3" t="s">
        <v>546</v>
      </c>
      <c r="L220" s="3" t="s">
        <v>543</v>
      </c>
      <c r="M220" s="3" t="s">
        <v>39</v>
      </c>
      <c r="N220" s="3">
        <v>0.1</v>
      </c>
      <c r="O220" s="3">
        <v>560000</v>
      </c>
      <c r="P220" s="3">
        <v>50</v>
      </c>
      <c r="Q220" s="3">
        <v>13</v>
      </c>
      <c r="R220" s="3">
        <v>60</v>
      </c>
    </row>
    <row r="221" spans="1:18" x14ac:dyDescent="0.25">
      <c r="A221" s="3" t="s">
        <v>412</v>
      </c>
      <c r="B221" s="3" t="s">
        <v>413</v>
      </c>
      <c r="C221" s="3">
        <v>27</v>
      </c>
      <c r="D221" s="3" t="s">
        <v>29</v>
      </c>
      <c r="E221" s="3" t="s">
        <v>48</v>
      </c>
      <c r="F221" s="3">
        <v>4199.3599999999997</v>
      </c>
      <c r="G221" s="3">
        <v>5</v>
      </c>
      <c r="H221" s="3" t="s">
        <v>22</v>
      </c>
      <c r="I221" s="3">
        <v>4</v>
      </c>
      <c r="J221" s="3">
        <v>5</v>
      </c>
      <c r="K221" s="3" t="s">
        <v>542</v>
      </c>
      <c r="L221" s="3" t="s">
        <v>551</v>
      </c>
      <c r="M221" s="3" t="s">
        <v>544</v>
      </c>
      <c r="N221" s="3">
        <v>0.05</v>
      </c>
      <c r="O221" s="3">
        <v>400000</v>
      </c>
      <c r="P221" s="3">
        <v>31</v>
      </c>
      <c r="Q221" s="3">
        <v>7</v>
      </c>
      <c r="R221" s="3">
        <v>40</v>
      </c>
    </row>
    <row r="222" spans="1:18" x14ac:dyDescent="0.25">
      <c r="A222" s="3" t="s">
        <v>414</v>
      </c>
      <c r="B222" s="3" t="s">
        <v>164</v>
      </c>
      <c r="C222" s="3">
        <v>27</v>
      </c>
      <c r="D222" s="3" t="s">
        <v>20</v>
      </c>
      <c r="E222" s="3" t="s">
        <v>51</v>
      </c>
      <c r="F222" s="3">
        <v>1353.62</v>
      </c>
      <c r="G222" s="3">
        <v>5</v>
      </c>
      <c r="H222" s="3" t="s">
        <v>42</v>
      </c>
      <c r="I222" s="3">
        <v>3</v>
      </c>
      <c r="J222" s="3">
        <v>4</v>
      </c>
      <c r="K222" s="3" t="s">
        <v>542</v>
      </c>
      <c r="L222" s="3" t="s">
        <v>552</v>
      </c>
      <c r="M222" s="3" t="s">
        <v>550</v>
      </c>
      <c r="N222" s="3">
        <v>0.14000000000000001</v>
      </c>
      <c r="O222" s="3">
        <v>300000</v>
      </c>
      <c r="P222" s="3">
        <v>90</v>
      </c>
      <c r="Q222" s="3">
        <v>12</v>
      </c>
      <c r="R222" s="3">
        <v>70</v>
      </c>
    </row>
    <row r="223" spans="1:18" x14ac:dyDescent="0.25">
      <c r="A223" s="3" t="s">
        <v>415</v>
      </c>
      <c r="B223" s="3" t="s">
        <v>416</v>
      </c>
      <c r="C223" s="3">
        <v>20</v>
      </c>
      <c r="D223" s="3" t="s">
        <v>29</v>
      </c>
      <c r="E223" s="3" t="s">
        <v>26</v>
      </c>
      <c r="F223" s="3">
        <v>4579.6400000000003</v>
      </c>
      <c r="G223" s="3">
        <v>3</v>
      </c>
      <c r="H223" s="3" t="s">
        <v>31</v>
      </c>
      <c r="I223" s="3">
        <v>1</v>
      </c>
      <c r="J223" s="3">
        <v>5</v>
      </c>
      <c r="K223" s="3" t="s">
        <v>542</v>
      </c>
      <c r="L223" s="3" t="s">
        <v>545</v>
      </c>
      <c r="M223" s="3" t="s">
        <v>548</v>
      </c>
      <c r="N223" s="3">
        <v>0.12</v>
      </c>
      <c r="O223" s="3">
        <v>240000</v>
      </c>
      <c r="P223" s="3">
        <v>50</v>
      </c>
      <c r="Q223" s="3">
        <v>14</v>
      </c>
      <c r="R223" s="3">
        <v>30</v>
      </c>
    </row>
    <row r="224" spans="1:18" x14ac:dyDescent="0.25">
      <c r="A224" s="3" t="s">
        <v>417</v>
      </c>
      <c r="B224" s="3" t="s">
        <v>50</v>
      </c>
      <c r="C224" s="3">
        <v>59</v>
      </c>
      <c r="D224" s="3" t="s">
        <v>45</v>
      </c>
      <c r="E224" s="3" t="s">
        <v>26</v>
      </c>
      <c r="F224" s="3">
        <v>975.02</v>
      </c>
      <c r="G224" s="3">
        <v>2</v>
      </c>
      <c r="H224" s="3" t="s">
        <v>36</v>
      </c>
      <c r="I224" s="3">
        <v>4</v>
      </c>
      <c r="J224" s="3">
        <v>2</v>
      </c>
      <c r="K224" s="3" t="s">
        <v>546</v>
      </c>
      <c r="L224" s="3" t="s">
        <v>545</v>
      </c>
      <c r="M224" s="3" t="s">
        <v>11</v>
      </c>
      <c r="N224" s="3">
        <v>0.12</v>
      </c>
      <c r="O224" s="3">
        <v>240000</v>
      </c>
      <c r="P224" s="3">
        <v>80</v>
      </c>
      <c r="Q224" s="3">
        <v>14</v>
      </c>
      <c r="R224" s="3">
        <v>30</v>
      </c>
    </row>
    <row r="225" spans="1:18" x14ac:dyDescent="0.25">
      <c r="A225" s="3" t="s">
        <v>418</v>
      </c>
      <c r="B225" s="3" t="s">
        <v>419</v>
      </c>
      <c r="C225" s="3">
        <v>57</v>
      </c>
      <c r="D225" s="3" t="s">
        <v>45</v>
      </c>
      <c r="E225" s="3" t="s">
        <v>30</v>
      </c>
      <c r="F225" s="3">
        <v>1632.4</v>
      </c>
      <c r="G225" s="3">
        <v>5</v>
      </c>
      <c r="H225" s="3" t="s">
        <v>42</v>
      </c>
      <c r="I225" s="3">
        <v>6</v>
      </c>
      <c r="J225" s="3">
        <v>2</v>
      </c>
      <c r="K225" s="3" t="s">
        <v>546</v>
      </c>
      <c r="L225" s="3" t="s">
        <v>547</v>
      </c>
      <c r="M225" s="3" t="s">
        <v>550</v>
      </c>
      <c r="N225" s="3">
        <v>0.12</v>
      </c>
      <c r="O225" s="3">
        <v>350000</v>
      </c>
      <c r="P225" s="3">
        <v>90</v>
      </c>
      <c r="Q225" s="3">
        <v>12</v>
      </c>
      <c r="R225" s="3">
        <v>100</v>
      </c>
    </row>
    <row r="226" spans="1:18" x14ac:dyDescent="0.25">
      <c r="A226" s="3" t="s">
        <v>420</v>
      </c>
      <c r="B226" s="3" t="s">
        <v>409</v>
      </c>
      <c r="C226" s="3">
        <v>38</v>
      </c>
      <c r="D226" s="3" t="s">
        <v>29</v>
      </c>
      <c r="E226" s="3" t="s">
        <v>26</v>
      </c>
      <c r="F226" s="3">
        <v>4888.75</v>
      </c>
      <c r="G226" s="3">
        <v>2</v>
      </c>
      <c r="H226" s="3" t="s">
        <v>22</v>
      </c>
      <c r="I226" s="3">
        <v>10</v>
      </c>
      <c r="J226" s="3">
        <v>4</v>
      </c>
      <c r="K226" s="3" t="s">
        <v>546</v>
      </c>
      <c r="L226" s="3" t="s">
        <v>545</v>
      </c>
      <c r="M226" s="3" t="s">
        <v>544</v>
      </c>
      <c r="N226" s="3">
        <v>0.12</v>
      </c>
      <c r="O226" s="3">
        <v>240000</v>
      </c>
      <c r="P226" s="3">
        <v>31</v>
      </c>
      <c r="Q226" s="3">
        <v>14</v>
      </c>
      <c r="R226" s="3">
        <v>30</v>
      </c>
    </row>
    <row r="227" spans="1:18" x14ac:dyDescent="0.25">
      <c r="A227" s="3" t="s">
        <v>421</v>
      </c>
      <c r="B227" s="3" t="s">
        <v>137</v>
      </c>
      <c r="C227" s="3">
        <v>26</v>
      </c>
      <c r="D227" s="3" t="s">
        <v>34</v>
      </c>
      <c r="E227" s="3" t="s">
        <v>26</v>
      </c>
      <c r="F227" s="3">
        <v>2052.3200000000002</v>
      </c>
      <c r="G227" s="3">
        <v>5</v>
      </c>
      <c r="H227" s="3" t="s">
        <v>22</v>
      </c>
      <c r="I227" s="3">
        <v>8</v>
      </c>
      <c r="J227" s="3">
        <v>1</v>
      </c>
      <c r="K227" s="3" t="s">
        <v>546</v>
      </c>
      <c r="L227" s="3" t="s">
        <v>545</v>
      </c>
      <c r="M227" s="3" t="s">
        <v>544</v>
      </c>
      <c r="N227" s="3">
        <v>0.12</v>
      </c>
      <c r="O227" s="3">
        <v>240000</v>
      </c>
      <c r="P227" s="3">
        <v>31</v>
      </c>
      <c r="Q227" s="3">
        <v>14</v>
      </c>
      <c r="R227" s="3">
        <v>30</v>
      </c>
    </row>
    <row r="228" spans="1:18" x14ac:dyDescent="0.25">
      <c r="A228" s="3" t="s">
        <v>422</v>
      </c>
      <c r="B228" s="3" t="s">
        <v>90</v>
      </c>
      <c r="C228" s="3">
        <v>58</v>
      </c>
      <c r="D228" s="3" t="s">
        <v>45</v>
      </c>
      <c r="E228" s="3" t="s">
        <v>21</v>
      </c>
      <c r="F228" s="3">
        <v>854.01</v>
      </c>
      <c r="G228" s="3">
        <v>2</v>
      </c>
      <c r="H228" s="3" t="s">
        <v>39</v>
      </c>
      <c r="I228" s="3">
        <v>5</v>
      </c>
      <c r="J228" s="3">
        <v>5</v>
      </c>
      <c r="K228" s="3" t="s">
        <v>546</v>
      </c>
      <c r="L228" s="3" t="s">
        <v>543</v>
      </c>
      <c r="M228" s="3" t="s">
        <v>39</v>
      </c>
      <c r="N228" s="3">
        <v>0.1</v>
      </c>
      <c r="O228" s="3">
        <v>560000</v>
      </c>
      <c r="P228" s="3">
        <v>50</v>
      </c>
      <c r="Q228" s="3">
        <v>13</v>
      </c>
      <c r="R228" s="3">
        <v>60</v>
      </c>
    </row>
    <row r="229" spans="1:18" x14ac:dyDescent="0.25">
      <c r="A229" s="3" t="s">
        <v>423</v>
      </c>
      <c r="B229" s="3" t="s">
        <v>424</v>
      </c>
      <c r="C229" s="3">
        <v>33</v>
      </c>
      <c r="D229" s="3" t="s">
        <v>34</v>
      </c>
      <c r="E229" s="3" t="s">
        <v>30</v>
      </c>
      <c r="F229" s="3">
        <v>4567.82</v>
      </c>
      <c r="G229" s="3">
        <v>2</v>
      </c>
      <c r="H229" s="3" t="s">
        <v>39</v>
      </c>
      <c r="I229" s="3">
        <v>7</v>
      </c>
      <c r="J229" s="3">
        <v>2</v>
      </c>
      <c r="K229" s="3" t="s">
        <v>546</v>
      </c>
      <c r="L229" s="3" t="s">
        <v>547</v>
      </c>
      <c r="M229" s="3" t="s">
        <v>39</v>
      </c>
      <c r="N229" s="3">
        <v>0.12</v>
      </c>
      <c r="O229" s="3">
        <v>350000</v>
      </c>
      <c r="P229" s="3">
        <v>50</v>
      </c>
      <c r="Q229" s="3">
        <v>12</v>
      </c>
      <c r="R229" s="3">
        <v>100</v>
      </c>
    </row>
    <row r="230" spans="1:18" x14ac:dyDescent="0.25">
      <c r="A230" s="3" t="s">
        <v>425</v>
      </c>
      <c r="B230" s="3" t="s">
        <v>426</v>
      </c>
      <c r="C230" s="3">
        <v>18</v>
      </c>
      <c r="D230" s="3" t="s">
        <v>54</v>
      </c>
      <c r="E230" s="3" t="s">
        <v>21</v>
      </c>
      <c r="F230" s="3">
        <v>1445.87</v>
      </c>
      <c r="G230" s="3">
        <v>1</v>
      </c>
      <c r="H230" s="3" t="s">
        <v>36</v>
      </c>
      <c r="I230" s="3">
        <v>7</v>
      </c>
      <c r="J230" s="3">
        <v>5</v>
      </c>
      <c r="K230" s="3" t="s">
        <v>546</v>
      </c>
      <c r="L230" s="3" t="s">
        <v>543</v>
      </c>
      <c r="M230" s="3" t="s">
        <v>11</v>
      </c>
      <c r="N230" s="3">
        <v>0.1</v>
      </c>
      <c r="O230" s="3">
        <v>560000</v>
      </c>
      <c r="P230" s="3">
        <v>80</v>
      </c>
      <c r="Q230" s="3">
        <v>13</v>
      </c>
      <c r="R230" s="3">
        <v>60</v>
      </c>
    </row>
    <row r="231" spans="1:18" x14ac:dyDescent="0.25">
      <c r="A231" s="3" t="s">
        <v>427</v>
      </c>
      <c r="B231" s="3" t="s">
        <v>428</v>
      </c>
      <c r="C231" s="3">
        <v>43</v>
      </c>
      <c r="D231" s="3" t="s">
        <v>54</v>
      </c>
      <c r="E231" s="3" t="s">
        <v>26</v>
      </c>
      <c r="F231" s="3">
        <v>1786.61</v>
      </c>
      <c r="G231" s="3">
        <v>2</v>
      </c>
      <c r="H231" s="3" t="s">
        <v>31</v>
      </c>
      <c r="I231" s="3">
        <v>5</v>
      </c>
      <c r="J231" s="3">
        <v>2</v>
      </c>
      <c r="K231" s="3" t="s">
        <v>546</v>
      </c>
      <c r="L231" s="3" t="s">
        <v>545</v>
      </c>
      <c r="M231" s="3" t="s">
        <v>548</v>
      </c>
      <c r="N231" s="3">
        <v>0.12</v>
      </c>
      <c r="O231" s="3">
        <v>240000</v>
      </c>
      <c r="P231" s="3">
        <v>50</v>
      </c>
      <c r="Q231" s="3">
        <v>14</v>
      </c>
      <c r="R231" s="3">
        <v>30</v>
      </c>
    </row>
    <row r="232" spans="1:18" x14ac:dyDescent="0.25">
      <c r="A232" s="3" t="s">
        <v>429</v>
      </c>
      <c r="B232" s="3" t="s">
        <v>430</v>
      </c>
      <c r="C232" s="3">
        <v>43</v>
      </c>
      <c r="D232" s="3" t="s">
        <v>45</v>
      </c>
      <c r="E232" s="3" t="s">
        <v>30</v>
      </c>
      <c r="F232" s="3">
        <v>1365.57</v>
      </c>
      <c r="G232" s="3">
        <v>5</v>
      </c>
      <c r="H232" s="3" t="s">
        <v>36</v>
      </c>
      <c r="I232" s="3">
        <v>4</v>
      </c>
      <c r="J232" s="3">
        <v>3</v>
      </c>
      <c r="K232" s="3" t="s">
        <v>546</v>
      </c>
      <c r="L232" s="3" t="s">
        <v>547</v>
      </c>
      <c r="M232" s="3" t="s">
        <v>11</v>
      </c>
      <c r="N232" s="3">
        <v>0.12</v>
      </c>
      <c r="O232" s="3">
        <v>350000</v>
      </c>
      <c r="P232" s="3">
        <v>80</v>
      </c>
      <c r="Q232" s="3">
        <v>12</v>
      </c>
      <c r="R232" s="3">
        <v>100</v>
      </c>
    </row>
    <row r="233" spans="1:18" x14ac:dyDescent="0.25">
      <c r="A233" s="3" t="s">
        <v>431</v>
      </c>
      <c r="B233" s="3" t="s">
        <v>124</v>
      </c>
      <c r="C233" s="3">
        <v>32</v>
      </c>
      <c r="D233" s="3" t="s">
        <v>29</v>
      </c>
      <c r="E233" s="3" t="s">
        <v>48</v>
      </c>
      <c r="F233" s="3">
        <v>4768.0200000000004</v>
      </c>
      <c r="G233" s="3">
        <v>3</v>
      </c>
      <c r="H233" s="3" t="s">
        <v>39</v>
      </c>
      <c r="I233" s="3">
        <v>5</v>
      </c>
      <c r="J233" s="3">
        <v>1</v>
      </c>
      <c r="K233" s="3" t="s">
        <v>546</v>
      </c>
      <c r="L233" s="3" t="s">
        <v>551</v>
      </c>
      <c r="M233" s="3" t="s">
        <v>39</v>
      </c>
      <c r="N233" s="3">
        <v>0.05</v>
      </c>
      <c r="O233" s="3">
        <v>400000</v>
      </c>
      <c r="P233" s="3">
        <v>50</v>
      </c>
      <c r="Q233" s="3">
        <v>7</v>
      </c>
      <c r="R233" s="3">
        <v>40</v>
      </c>
    </row>
    <row r="234" spans="1:18" x14ac:dyDescent="0.25">
      <c r="A234" s="3" t="s">
        <v>432</v>
      </c>
      <c r="B234" s="3" t="s">
        <v>433</v>
      </c>
      <c r="C234" s="3">
        <v>27</v>
      </c>
      <c r="D234" s="3" t="s">
        <v>54</v>
      </c>
      <c r="E234" s="3" t="s">
        <v>26</v>
      </c>
      <c r="F234" s="3">
        <v>3861.06</v>
      </c>
      <c r="G234" s="3">
        <v>1</v>
      </c>
      <c r="H234" s="3" t="s">
        <v>22</v>
      </c>
      <c r="I234" s="3">
        <v>6</v>
      </c>
      <c r="J234" s="3">
        <v>2</v>
      </c>
      <c r="K234" s="3" t="s">
        <v>546</v>
      </c>
      <c r="L234" s="3" t="s">
        <v>545</v>
      </c>
      <c r="M234" s="3" t="s">
        <v>544</v>
      </c>
      <c r="N234" s="3">
        <v>0.12</v>
      </c>
      <c r="O234" s="3">
        <v>240000</v>
      </c>
      <c r="P234" s="3">
        <v>31</v>
      </c>
      <c r="Q234" s="3">
        <v>14</v>
      </c>
      <c r="R234" s="3">
        <v>30</v>
      </c>
    </row>
    <row r="235" spans="1:18" x14ac:dyDescent="0.25">
      <c r="A235" s="3" t="s">
        <v>434</v>
      </c>
      <c r="B235" s="3" t="s">
        <v>313</v>
      </c>
      <c r="C235" s="3">
        <v>39</v>
      </c>
      <c r="D235" s="3" t="s">
        <v>34</v>
      </c>
      <c r="E235" s="3" t="s">
        <v>48</v>
      </c>
      <c r="F235" s="3">
        <v>2696.36</v>
      </c>
      <c r="G235" s="3">
        <v>3</v>
      </c>
      <c r="H235" s="3" t="s">
        <v>22</v>
      </c>
      <c r="I235" s="3">
        <v>1</v>
      </c>
      <c r="J235" s="3">
        <v>4</v>
      </c>
      <c r="K235" s="3" t="s">
        <v>542</v>
      </c>
      <c r="L235" s="3" t="s">
        <v>551</v>
      </c>
      <c r="M235" s="3" t="s">
        <v>544</v>
      </c>
      <c r="N235" s="3">
        <v>0.05</v>
      </c>
      <c r="O235" s="3">
        <v>400000</v>
      </c>
      <c r="P235" s="3">
        <v>31</v>
      </c>
      <c r="Q235" s="3">
        <v>7</v>
      </c>
      <c r="R235" s="3">
        <v>40</v>
      </c>
    </row>
    <row r="236" spans="1:18" x14ac:dyDescent="0.25">
      <c r="A236" s="3" t="s">
        <v>435</v>
      </c>
      <c r="B236" s="3" t="s">
        <v>436</v>
      </c>
      <c r="C236" s="3">
        <v>46</v>
      </c>
      <c r="D236" s="3" t="s">
        <v>25</v>
      </c>
      <c r="E236" s="3" t="s">
        <v>26</v>
      </c>
      <c r="F236" s="3">
        <v>2051.0100000000002</v>
      </c>
      <c r="G236" s="3">
        <v>1</v>
      </c>
      <c r="H236" s="3" t="s">
        <v>22</v>
      </c>
      <c r="I236" s="3">
        <v>2</v>
      </c>
      <c r="J236" s="3">
        <v>4</v>
      </c>
      <c r="K236" s="3" t="s">
        <v>546</v>
      </c>
      <c r="L236" s="3" t="s">
        <v>545</v>
      </c>
      <c r="M236" s="3" t="s">
        <v>544</v>
      </c>
      <c r="N236" s="3">
        <v>0.12</v>
      </c>
      <c r="O236" s="3">
        <v>240000</v>
      </c>
      <c r="P236" s="3">
        <v>31</v>
      </c>
      <c r="Q236" s="3">
        <v>14</v>
      </c>
      <c r="R236" s="3">
        <v>30</v>
      </c>
    </row>
    <row r="237" spans="1:18" x14ac:dyDescent="0.25">
      <c r="A237" s="3" t="s">
        <v>437</v>
      </c>
      <c r="B237" s="3" t="s">
        <v>438</v>
      </c>
      <c r="C237" s="3">
        <v>42</v>
      </c>
      <c r="D237" s="3" t="s">
        <v>45</v>
      </c>
      <c r="E237" s="3" t="s">
        <v>51</v>
      </c>
      <c r="F237" s="3">
        <v>4011.36</v>
      </c>
      <c r="G237" s="3">
        <v>5</v>
      </c>
      <c r="H237" s="3" t="s">
        <v>39</v>
      </c>
      <c r="I237" s="3">
        <v>4</v>
      </c>
      <c r="J237" s="3">
        <v>3</v>
      </c>
      <c r="K237" s="3" t="s">
        <v>546</v>
      </c>
      <c r="L237" s="3" t="s">
        <v>552</v>
      </c>
      <c r="M237" s="3" t="s">
        <v>39</v>
      </c>
      <c r="N237" s="3">
        <v>0.14000000000000001</v>
      </c>
      <c r="O237" s="3">
        <v>300000</v>
      </c>
      <c r="P237" s="3">
        <v>50</v>
      </c>
      <c r="Q237" s="3">
        <v>12</v>
      </c>
      <c r="R237" s="3">
        <v>70</v>
      </c>
    </row>
    <row r="238" spans="1:18" x14ac:dyDescent="0.25">
      <c r="A238" s="3" t="s">
        <v>439</v>
      </c>
      <c r="B238" s="3" t="s">
        <v>440</v>
      </c>
      <c r="C238" s="3">
        <v>34</v>
      </c>
      <c r="D238" s="3" t="s">
        <v>34</v>
      </c>
      <c r="E238" s="3" t="s">
        <v>35</v>
      </c>
      <c r="F238" s="3">
        <v>253.66</v>
      </c>
      <c r="G238" s="3">
        <v>4</v>
      </c>
      <c r="H238" s="3" t="s">
        <v>31</v>
      </c>
      <c r="I238" s="3">
        <v>4</v>
      </c>
      <c r="J238" s="3">
        <v>1</v>
      </c>
      <c r="K238" s="3" t="s">
        <v>546</v>
      </c>
      <c r="L238" s="3" t="s">
        <v>549</v>
      </c>
      <c r="M238" s="3" t="s">
        <v>548</v>
      </c>
      <c r="N238" s="3">
        <v>0.18</v>
      </c>
      <c r="O238" s="3">
        <v>450000</v>
      </c>
      <c r="P238" s="3">
        <v>50</v>
      </c>
      <c r="Q238" s="3">
        <v>15</v>
      </c>
      <c r="R238" s="3">
        <v>50</v>
      </c>
    </row>
    <row r="239" spans="1:18" x14ac:dyDescent="0.25">
      <c r="A239" s="3" t="s">
        <v>441</v>
      </c>
      <c r="B239" s="3" t="s">
        <v>156</v>
      </c>
      <c r="C239" s="3">
        <v>35</v>
      </c>
      <c r="D239" s="3" t="s">
        <v>29</v>
      </c>
      <c r="E239" s="3" t="s">
        <v>48</v>
      </c>
      <c r="F239" s="3">
        <v>844.24</v>
      </c>
      <c r="G239" s="3">
        <v>2</v>
      </c>
      <c r="H239" s="3" t="s">
        <v>36</v>
      </c>
      <c r="I239" s="3">
        <v>3</v>
      </c>
      <c r="J239" s="3">
        <v>5</v>
      </c>
      <c r="K239" s="3" t="s">
        <v>546</v>
      </c>
      <c r="L239" s="3" t="s">
        <v>551</v>
      </c>
      <c r="M239" s="3" t="s">
        <v>11</v>
      </c>
      <c r="N239" s="3">
        <v>0.05</v>
      </c>
      <c r="O239" s="3">
        <v>400000</v>
      </c>
      <c r="P239" s="3">
        <v>80</v>
      </c>
      <c r="Q239" s="3">
        <v>7</v>
      </c>
      <c r="R239" s="3">
        <v>40</v>
      </c>
    </row>
    <row r="240" spans="1:18" x14ac:dyDescent="0.25">
      <c r="A240" s="3" t="s">
        <v>442</v>
      </c>
      <c r="B240" s="3" t="s">
        <v>166</v>
      </c>
      <c r="C240" s="3">
        <v>43</v>
      </c>
      <c r="D240" s="3" t="s">
        <v>25</v>
      </c>
      <c r="E240" s="3" t="s">
        <v>26</v>
      </c>
      <c r="F240" s="3">
        <v>787.3</v>
      </c>
      <c r="G240" s="3">
        <v>1</v>
      </c>
      <c r="H240" s="3" t="s">
        <v>39</v>
      </c>
      <c r="I240" s="3">
        <v>8</v>
      </c>
      <c r="J240" s="3">
        <v>2</v>
      </c>
      <c r="K240" s="3" t="s">
        <v>546</v>
      </c>
      <c r="L240" s="3" t="s">
        <v>545</v>
      </c>
      <c r="M240" s="3" t="s">
        <v>39</v>
      </c>
      <c r="N240" s="3">
        <v>0.12</v>
      </c>
      <c r="O240" s="3">
        <v>240000</v>
      </c>
      <c r="P240" s="3">
        <v>50</v>
      </c>
      <c r="Q240" s="3">
        <v>14</v>
      </c>
      <c r="R240" s="3">
        <v>30</v>
      </c>
    </row>
    <row r="241" spans="1:18" x14ac:dyDescent="0.25">
      <c r="A241" s="3" t="s">
        <v>443</v>
      </c>
      <c r="B241" s="3" t="s">
        <v>444</v>
      </c>
      <c r="C241" s="3">
        <v>47</v>
      </c>
      <c r="D241" s="3" t="s">
        <v>34</v>
      </c>
      <c r="E241" s="3" t="s">
        <v>26</v>
      </c>
      <c r="F241" s="3">
        <v>1553.51</v>
      </c>
      <c r="G241" s="3">
        <v>2</v>
      </c>
      <c r="H241" s="3" t="s">
        <v>36</v>
      </c>
      <c r="I241" s="3">
        <v>8</v>
      </c>
      <c r="J241" s="3">
        <v>4</v>
      </c>
      <c r="K241" s="3" t="s">
        <v>546</v>
      </c>
      <c r="L241" s="3" t="s">
        <v>545</v>
      </c>
      <c r="M241" s="3" t="s">
        <v>11</v>
      </c>
      <c r="N241" s="3">
        <v>0.12</v>
      </c>
      <c r="O241" s="3">
        <v>240000</v>
      </c>
      <c r="P241" s="3">
        <v>80</v>
      </c>
      <c r="Q241" s="3">
        <v>14</v>
      </c>
      <c r="R241" s="3">
        <v>30</v>
      </c>
    </row>
    <row r="242" spans="1:18" x14ac:dyDescent="0.25">
      <c r="A242" s="3" t="s">
        <v>445</v>
      </c>
      <c r="B242" s="3" t="s">
        <v>286</v>
      </c>
      <c r="C242" s="3">
        <v>29</v>
      </c>
      <c r="D242" s="3" t="s">
        <v>34</v>
      </c>
      <c r="E242" s="3" t="s">
        <v>48</v>
      </c>
      <c r="F242" s="3">
        <v>2692.39</v>
      </c>
      <c r="G242" s="3">
        <v>4</v>
      </c>
      <c r="H242" s="3" t="s">
        <v>31</v>
      </c>
      <c r="I242" s="3">
        <v>3</v>
      </c>
      <c r="J242" s="3">
        <v>3</v>
      </c>
      <c r="K242" s="3" t="s">
        <v>546</v>
      </c>
      <c r="L242" s="3" t="s">
        <v>551</v>
      </c>
      <c r="M242" s="3" t="s">
        <v>548</v>
      </c>
      <c r="N242" s="3">
        <v>0.05</v>
      </c>
      <c r="O242" s="3">
        <v>400000</v>
      </c>
      <c r="P242" s="3">
        <v>50</v>
      </c>
      <c r="Q242" s="3">
        <v>7</v>
      </c>
      <c r="R242" s="3">
        <v>40</v>
      </c>
    </row>
    <row r="243" spans="1:18" x14ac:dyDescent="0.25">
      <c r="A243" s="3" t="s">
        <v>446</v>
      </c>
      <c r="B243" s="3" t="s">
        <v>447</v>
      </c>
      <c r="C243" s="3">
        <v>41</v>
      </c>
      <c r="D243" s="3" t="s">
        <v>29</v>
      </c>
      <c r="E243" s="3" t="s">
        <v>51</v>
      </c>
      <c r="F243" s="3">
        <v>2367.52</v>
      </c>
      <c r="G243" s="3">
        <v>5</v>
      </c>
      <c r="H243" s="3" t="s">
        <v>22</v>
      </c>
      <c r="I243" s="3">
        <v>1</v>
      </c>
      <c r="J243" s="3">
        <v>3</v>
      </c>
      <c r="K243" s="3" t="s">
        <v>546</v>
      </c>
      <c r="L243" s="3" t="s">
        <v>552</v>
      </c>
      <c r="M243" s="3" t="s">
        <v>544</v>
      </c>
      <c r="N243" s="3">
        <v>0.14000000000000001</v>
      </c>
      <c r="O243" s="3">
        <v>300000</v>
      </c>
      <c r="P243" s="3">
        <v>31</v>
      </c>
      <c r="Q243" s="3">
        <v>12</v>
      </c>
      <c r="R243" s="3">
        <v>70</v>
      </c>
    </row>
    <row r="244" spans="1:18" x14ac:dyDescent="0.25">
      <c r="A244" s="3" t="s">
        <v>448</v>
      </c>
      <c r="B244" s="3" t="s">
        <v>449</v>
      </c>
      <c r="C244" s="3">
        <v>38</v>
      </c>
      <c r="D244" s="3" t="s">
        <v>25</v>
      </c>
      <c r="E244" s="3" t="s">
        <v>21</v>
      </c>
      <c r="F244" s="3">
        <v>530.11</v>
      </c>
      <c r="G244" s="3">
        <v>4</v>
      </c>
      <c r="H244" s="3" t="s">
        <v>42</v>
      </c>
      <c r="I244" s="3">
        <v>10</v>
      </c>
      <c r="J244" s="3">
        <v>5</v>
      </c>
      <c r="K244" s="3" t="s">
        <v>542</v>
      </c>
      <c r="L244" s="3" t="s">
        <v>543</v>
      </c>
      <c r="M244" s="3" t="s">
        <v>550</v>
      </c>
      <c r="N244" s="3">
        <v>0.1</v>
      </c>
      <c r="O244" s="3">
        <v>560000</v>
      </c>
      <c r="P244" s="3">
        <v>90</v>
      </c>
      <c r="Q244" s="3">
        <v>13</v>
      </c>
      <c r="R244" s="3">
        <v>60</v>
      </c>
    </row>
    <row r="245" spans="1:18" x14ac:dyDescent="0.25">
      <c r="A245" s="3" t="s">
        <v>450</v>
      </c>
      <c r="B245" s="3" t="s">
        <v>94</v>
      </c>
      <c r="C245" s="3">
        <v>40</v>
      </c>
      <c r="D245" s="3" t="s">
        <v>29</v>
      </c>
      <c r="E245" s="3" t="s">
        <v>30</v>
      </c>
      <c r="F245" s="3">
        <v>2710.8</v>
      </c>
      <c r="G245" s="3">
        <v>1</v>
      </c>
      <c r="H245" s="3" t="s">
        <v>36</v>
      </c>
      <c r="I245" s="3">
        <v>7</v>
      </c>
      <c r="J245" s="3">
        <v>2</v>
      </c>
      <c r="K245" s="3" t="s">
        <v>546</v>
      </c>
      <c r="L245" s="3" t="s">
        <v>547</v>
      </c>
      <c r="M245" s="3" t="s">
        <v>11</v>
      </c>
      <c r="N245" s="3">
        <v>0.12</v>
      </c>
      <c r="O245" s="3">
        <v>350000</v>
      </c>
      <c r="P245" s="3">
        <v>80</v>
      </c>
      <c r="Q245" s="3">
        <v>12</v>
      </c>
      <c r="R245" s="3">
        <v>100</v>
      </c>
    </row>
    <row r="246" spans="1:18" x14ac:dyDescent="0.25">
      <c r="A246" s="3" t="s">
        <v>451</v>
      </c>
      <c r="B246" s="3" t="s">
        <v>452</v>
      </c>
      <c r="C246" s="3">
        <v>60</v>
      </c>
      <c r="D246" s="3" t="s">
        <v>25</v>
      </c>
      <c r="E246" s="3" t="s">
        <v>26</v>
      </c>
      <c r="F246" s="3">
        <v>3305.85</v>
      </c>
      <c r="G246" s="3">
        <v>1</v>
      </c>
      <c r="H246" s="3" t="s">
        <v>22</v>
      </c>
      <c r="I246" s="3">
        <v>6</v>
      </c>
      <c r="J246" s="3">
        <v>4</v>
      </c>
      <c r="K246" s="3" t="s">
        <v>546</v>
      </c>
      <c r="L246" s="3" t="s">
        <v>545</v>
      </c>
      <c r="M246" s="3" t="s">
        <v>544</v>
      </c>
      <c r="N246" s="3">
        <v>0.12</v>
      </c>
      <c r="O246" s="3">
        <v>240000</v>
      </c>
      <c r="P246" s="3">
        <v>31</v>
      </c>
      <c r="Q246" s="3">
        <v>14</v>
      </c>
      <c r="R246" s="3">
        <v>30</v>
      </c>
    </row>
    <row r="247" spans="1:18" x14ac:dyDescent="0.25">
      <c r="A247" s="3" t="s">
        <v>453</v>
      </c>
      <c r="B247" s="3" t="s">
        <v>454</v>
      </c>
      <c r="C247" s="3">
        <v>49</v>
      </c>
      <c r="D247" s="3" t="s">
        <v>34</v>
      </c>
      <c r="E247" s="3" t="s">
        <v>26</v>
      </c>
      <c r="F247" s="3">
        <v>3100.32</v>
      </c>
      <c r="G247" s="3">
        <v>3</v>
      </c>
      <c r="H247" s="3" t="s">
        <v>22</v>
      </c>
      <c r="I247" s="3">
        <v>2</v>
      </c>
      <c r="J247" s="3">
        <v>1</v>
      </c>
      <c r="K247" s="3" t="s">
        <v>546</v>
      </c>
      <c r="L247" s="3" t="s">
        <v>545</v>
      </c>
      <c r="M247" s="3" t="s">
        <v>544</v>
      </c>
      <c r="N247" s="3">
        <v>0.12</v>
      </c>
      <c r="O247" s="3">
        <v>240000</v>
      </c>
      <c r="P247" s="3">
        <v>31</v>
      </c>
      <c r="Q247" s="3">
        <v>14</v>
      </c>
      <c r="R247" s="3">
        <v>30</v>
      </c>
    </row>
    <row r="248" spans="1:18" x14ac:dyDescent="0.25">
      <c r="A248" s="3" t="s">
        <v>455</v>
      </c>
      <c r="B248" s="3" t="s">
        <v>456</v>
      </c>
      <c r="C248" s="3">
        <v>36</v>
      </c>
      <c r="D248" s="3" t="s">
        <v>25</v>
      </c>
      <c r="E248" s="3" t="s">
        <v>51</v>
      </c>
      <c r="F248" s="3">
        <v>397.88</v>
      </c>
      <c r="G248" s="3">
        <v>1</v>
      </c>
      <c r="H248" s="3" t="s">
        <v>31</v>
      </c>
      <c r="I248" s="3">
        <v>2</v>
      </c>
      <c r="J248" s="3">
        <v>3</v>
      </c>
      <c r="K248" s="3" t="s">
        <v>546</v>
      </c>
      <c r="L248" s="3" t="s">
        <v>552</v>
      </c>
      <c r="M248" s="3" t="s">
        <v>548</v>
      </c>
      <c r="N248" s="3">
        <v>0.14000000000000001</v>
      </c>
      <c r="O248" s="3">
        <v>300000</v>
      </c>
      <c r="P248" s="3">
        <v>50</v>
      </c>
      <c r="Q248" s="3">
        <v>12</v>
      </c>
      <c r="R248" s="3">
        <v>70</v>
      </c>
    </row>
    <row r="249" spans="1:18" x14ac:dyDescent="0.25">
      <c r="A249" s="3" t="s">
        <v>457</v>
      </c>
      <c r="B249" s="3" t="s">
        <v>413</v>
      </c>
      <c r="C249" s="3">
        <v>39</v>
      </c>
      <c r="D249" s="3" t="s">
        <v>20</v>
      </c>
      <c r="E249" s="3" t="s">
        <v>35</v>
      </c>
      <c r="F249" s="3">
        <v>4597.71</v>
      </c>
      <c r="G249" s="3">
        <v>2</v>
      </c>
      <c r="H249" s="3" t="s">
        <v>36</v>
      </c>
      <c r="I249" s="3">
        <v>10</v>
      </c>
      <c r="J249" s="3">
        <v>1</v>
      </c>
      <c r="K249" s="3" t="s">
        <v>546</v>
      </c>
      <c r="L249" s="3" t="s">
        <v>549</v>
      </c>
      <c r="M249" s="3" t="s">
        <v>11</v>
      </c>
      <c r="N249" s="3">
        <v>0.18</v>
      </c>
      <c r="O249" s="3">
        <v>450000</v>
      </c>
      <c r="P249" s="3">
        <v>80</v>
      </c>
      <c r="Q249" s="3">
        <v>15</v>
      </c>
      <c r="R249" s="3">
        <v>50</v>
      </c>
    </row>
    <row r="250" spans="1:18" x14ac:dyDescent="0.25">
      <c r="A250" s="3" t="s">
        <v>458</v>
      </c>
      <c r="B250" s="3" t="s">
        <v>86</v>
      </c>
      <c r="C250" s="3">
        <v>57</v>
      </c>
      <c r="D250" s="3" t="s">
        <v>29</v>
      </c>
      <c r="E250" s="3" t="s">
        <v>30</v>
      </c>
      <c r="F250" s="3">
        <v>4512.43</v>
      </c>
      <c r="G250" s="3">
        <v>2</v>
      </c>
      <c r="H250" s="3" t="s">
        <v>39</v>
      </c>
      <c r="I250" s="3">
        <v>7</v>
      </c>
      <c r="J250" s="3">
        <v>3</v>
      </c>
      <c r="K250" s="3" t="s">
        <v>546</v>
      </c>
      <c r="L250" s="3" t="s">
        <v>547</v>
      </c>
      <c r="M250" s="3" t="s">
        <v>39</v>
      </c>
      <c r="N250" s="3">
        <v>0.12</v>
      </c>
      <c r="O250" s="3">
        <v>350000</v>
      </c>
      <c r="P250" s="3">
        <v>50</v>
      </c>
      <c r="Q250" s="3">
        <v>12</v>
      </c>
      <c r="R250" s="3">
        <v>100</v>
      </c>
    </row>
    <row r="251" spans="1:18" x14ac:dyDescent="0.25">
      <c r="A251" s="3" t="s">
        <v>459</v>
      </c>
      <c r="B251" s="3" t="s">
        <v>460</v>
      </c>
      <c r="C251" s="3">
        <v>51</v>
      </c>
      <c r="D251" s="3" t="s">
        <v>34</v>
      </c>
      <c r="E251" s="3" t="s">
        <v>30</v>
      </c>
      <c r="F251" s="3">
        <v>2654.38</v>
      </c>
      <c r="G251" s="3">
        <v>5</v>
      </c>
      <c r="H251" s="3" t="s">
        <v>22</v>
      </c>
      <c r="I251" s="3">
        <v>5</v>
      </c>
      <c r="J251" s="3">
        <v>1</v>
      </c>
      <c r="K251" s="3" t="s">
        <v>546</v>
      </c>
      <c r="L251" s="3" t="s">
        <v>547</v>
      </c>
      <c r="M251" s="3" t="s">
        <v>544</v>
      </c>
      <c r="N251" s="3">
        <v>0.12</v>
      </c>
      <c r="O251" s="3">
        <v>350000</v>
      </c>
      <c r="P251" s="3">
        <v>31</v>
      </c>
      <c r="Q251" s="3">
        <v>12</v>
      </c>
      <c r="R251" s="3">
        <v>100</v>
      </c>
    </row>
    <row r="252" spans="1:18" x14ac:dyDescent="0.25">
      <c r="A252" s="3" t="s">
        <v>461</v>
      </c>
      <c r="B252" s="3" t="s">
        <v>462</v>
      </c>
      <c r="C252" s="3">
        <v>43</v>
      </c>
      <c r="D252" s="3" t="s">
        <v>25</v>
      </c>
      <c r="E252" s="3" t="s">
        <v>48</v>
      </c>
      <c r="F252" s="3">
        <v>3470.39</v>
      </c>
      <c r="G252" s="3">
        <v>4</v>
      </c>
      <c r="H252" s="3" t="s">
        <v>39</v>
      </c>
      <c r="I252" s="3">
        <v>8</v>
      </c>
      <c r="J252" s="3">
        <v>3</v>
      </c>
      <c r="K252" s="3" t="s">
        <v>546</v>
      </c>
      <c r="L252" s="3" t="s">
        <v>551</v>
      </c>
      <c r="M252" s="3" t="s">
        <v>39</v>
      </c>
      <c r="N252" s="3">
        <v>0.05</v>
      </c>
      <c r="O252" s="3">
        <v>400000</v>
      </c>
      <c r="P252" s="3">
        <v>50</v>
      </c>
      <c r="Q252" s="3">
        <v>7</v>
      </c>
      <c r="R252" s="3">
        <v>40</v>
      </c>
    </row>
    <row r="253" spans="1:18" x14ac:dyDescent="0.25">
      <c r="A253" s="3" t="s">
        <v>463</v>
      </c>
      <c r="B253" s="3" t="s">
        <v>464</v>
      </c>
      <c r="C253" s="3">
        <v>31</v>
      </c>
      <c r="D253" s="3" t="s">
        <v>45</v>
      </c>
      <c r="E253" s="3" t="s">
        <v>35</v>
      </c>
      <c r="F253" s="3">
        <v>3464.58</v>
      </c>
      <c r="G253" s="3">
        <v>1</v>
      </c>
      <c r="H253" s="3" t="s">
        <v>31</v>
      </c>
      <c r="I253" s="3">
        <v>7</v>
      </c>
      <c r="J253" s="3">
        <v>1</v>
      </c>
      <c r="K253" s="3" t="s">
        <v>546</v>
      </c>
      <c r="L253" s="3" t="s">
        <v>549</v>
      </c>
      <c r="M253" s="3" t="s">
        <v>548</v>
      </c>
      <c r="N253" s="3">
        <v>0.18</v>
      </c>
      <c r="O253" s="3">
        <v>450000</v>
      </c>
      <c r="P253" s="3">
        <v>50</v>
      </c>
      <c r="Q253" s="3">
        <v>15</v>
      </c>
      <c r="R253" s="3">
        <v>50</v>
      </c>
    </row>
    <row r="254" spans="1:18" x14ac:dyDescent="0.25">
      <c r="A254" s="3" t="s">
        <v>465</v>
      </c>
      <c r="B254" s="3" t="s">
        <v>466</v>
      </c>
      <c r="C254" s="3">
        <v>30</v>
      </c>
      <c r="D254" s="3" t="s">
        <v>25</v>
      </c>
      <c r="E254" s="3" t="s">
        <v>30</v>
      </c>
      <c r="F254" s="3">
        <v>1796.34</v>
      </c>
      <c r="G254" s="3">
        <v>4</v>
      </c>
      <c r="H254" s="3" t="s">
        <v>31</v>
      </c>
      <c r="I254" s="3">
        <v>8</v>
      </c>
      <c r="J254" s="3">
        <v>1</v>
      </c>
      <c r="K254" s="3" t="s">
        <v>546</v>
      </c>
      <c r="L254" s="3" t="s">
        <v>547</v>
      </c>
      <c r="M254" s="3" t="s">
        <v>548</v>
      </c>
      <c r="N254" s="3">
        <v>0.12</v>
      </c>
      <c r="O254" s="3">
        <v>350000</v>
      </c>
      <c r="P254" s="3">
        <v>50</v>
      </c>
      <c r="Q254" s="3">
        <v>12</v>
      </c>
      <c r="R254" s="3">
        <v>100</v>
      </c>
    </row>
    <row r="255" spans="1:18" x14ac:dyDescent="0.25">
      <c r="A255" s="3" t="s">
        <v>467</v>
      </c>
      <c r="B255" s="3" t="s">
        <v>468</v>
      </c>
      <c r="C255" s="3">
        <v>37</v>
      </c>
      <c r="D255" s="3" t="s">
        <v>45</v>
      </c>
      <c r="E255" s="3" t="s">
        <v>26</v>
      </c>
      <c r="F255" s="3">
        <v>3711.88</v>
      </c>
      <c r="G255" s="3">
        <v>2</v>
      </c>
      <c r="H255" s="3" t="s">
        <v>31</v>
      </c>
      <c r="I255" s="3">
        <v>5</v>
      </c>
      <c r="J255" s="3">
        <v>3</v>
      </c>
      <c r="K255" s="3" t="s">
        <v>546</v>
      </c>
      <c r="L255" s="3" t="s">
        <v>545</v>
      </c>
      <c r="M255" s="3" t="s">
        <v>548</v>
      </c>
      <c r="N255" s="3">
        <v>0.12</v>
      </c>
      <c r="O255" s="3">
        <v>240000</v>
      </c>
      <c r="P255" s="3">
        <v>50</v>
      </c>
      <c r="Q255" s="3">
        <v>14</v>
      </c>
      <c r="R255" s="3">
        <v>30</v>
      </c>
    </row>
    <row r="256" spans="1:18" x14ac:dyDescent="0.25">
      <c r="A256" s="3" t="s">
        <v>469</v>
      </c>
      <c r="B256" s="3" t="s">
        <v>177</v>
      </c>
      <c r="C256" s="3">
        <v>28</v>
      </c>
      <c r="D256" s="3" t="s">
        <v>54</v>
      </c>
      <c r="E256" s="3" t="s">
        <v>26</v>
      </c>
      <c r="F256" s="3">
        <v>3305.92</v>
      </c>
      <c r="G256" s="3">
        <v>5</v>
      </c>
      <c r="H256" s="3" t="s">
        <v>42</v>
      </c>
      <c r="I256" s="3">
        <v>6</v>
      </c>
      <c r="J256" s="3">
        <v>3</v>
      </c>
      <c r="K256" s="3" t="s">
        <v>546</v>
      </c>
      <c r="L256" s="3" t="s">
        <v>545</v>
      </c>
      <c r="M256" s="3" t="s">
        <v>550</v>
      </c>
      <c r="N256" s="3">
        <v>0.12</v>
      </c>
      <c r="O256" s="3">
        <v>240000</v>
      </c>
      <c r="P256" s="3">
        <v>90</v>
      </c>
      <c r="Q256" s="3">
        <v>14</v>
      </c>
      <c r="R256" s="3">
        <v>30</v>
      </c>
    </row>
    <row r="257" spans="1:18" x14ac:dyDescent="0.25">
      <c r="A257" s="3" t="s">
        <v>470</v>
      </c>
      <c r="B257" s="3" t="s">
        <v>471</v>
      </c>
      <c r="C257" s="3">
        <v>37</v>
      </c>
      <c r="D257" s="3" t="s">
        <v>29</v>
      </c>
      <c r="E257" s="3" t="s">
        <v>35</v>
      </c>
      <c r="F257" s="3">
        <v>3869.02</v>
      </c>
      <c r="G257" s="3">
        <v>2</v>
      </c>
      <c r="H257" s="3" t="s">
        <v>31</v>
      </c>
      <c r="I257" s="3">
        <v>8</v>
      </c>
      <c r="J257" s="3">
        <v>4</v>
      </c>
      <c r="K257" s="3" t="s">
        <v>546</v>
      </c>
      <c r="L257" s="3" t="s">
        <v>549</v>
      </c>
      <c r="M257" s="3" t="s">
        <v>548</v>
      </c>
      <c r="N257" s="3">
        <v>0.18</v>
      </c>
      <c r="O257" s="3">
        <v>450000</v>
      </c>
      <c r="P257" s="3">
        <v>50</v>
      </c>
      <c r="Q257" s="3">
        <v>15</v>
      </c>
      <c r="R257" s="3">
        <v>50</v>
      </c>
    </row>
    <row r="258" spans="1:18" x14ac:dyDescent="0.25">
      <c r="A258" s="3" t="s">
        <v>472</v>
      </c>
      <c r="B258" s="3" t="s">
        <v>473</v>
      </c>
      <c r="C258" s="3">
        <v>41</v>
      </c>
      <c r="D258" s="3" t="s">
        <v>25</v>
      </c>
      <c r="E258" s="3" t="s">
        <v>26</v>
      </c>
      <c r="F258" s="3">
        <v>1047.23</v>
      </c>
      <c r="G258" s="3">
        <v>3</v>
      </c>
      <c r="H258" s="3" t="s">
        <v>36</v>
      </c>
      <c r="I258" s="3">
        <v>10</v>
      </c>
      <c r="J258" s="3">
        <v>4</v>
      </c>
      <c r="K258" s="3" t="s">
        <v>542</v>
      </c>
      <c r="L258" s="3" t="s">
        <v>545</v>
      </c>
      <c r="M258" s="3" t="s">
        <v>11</v>
      </c>
      <c r="N258" s="3">
        <v>0.12</v>
      </c>
      <c r="O258" s="3">
        <v>240000</v>
      </c>
      <c r="P258" s="3">
        <v>80</v>
      </c>
      <c r="Q258" s="3">
        <v>14</v>
      </c>
      <c r="R258" s="3">
        <v>30</v>
      </c>
    </row>
    <row r="259" spans="1:18" x14ac:dyDescent="0.25">
      <c r="A259" s="3" t="s">
        <v>474</v>
      </c>
      <c r="B259" s="3" t="s">
        <v>475</v>
      </c>
      <c r="C259" s="3">
        <v>41</v>
      </c>
      <c r="D259" s="3" t="s">
        <v>45</v>
      </c>
      <c r="E259" s="3" t="s">
        <v>51</v>
      </c>
      <c r="F259" s="3">
        <v>3339.63</v>
      </c>
      <c r="G259" s="3">
        <v>2</v>
      </c>
      <c r="H259" s="3" t="s">
        <v>22</v>
      </c>
      <c r="I259" s="3">
        <v>10</v>
      </c>
      <c r="J259" s="3">
        <v>1</v>
      </c>
      <c r="K259" s="3" t="s">
        <v>546</v>
      </c>
      <c r="L259" s="3" t="s">
        <v>552</v>
      </c>
      <c r="M259" s="3" t="s">
        <v>544</v>
      </c>
      <c r="N259" s="3">
        <v>0.14000000000000001</v>
      </c>
      <c r="O259" s="3">
        <v>300000</v>
      </c>
      <c r="P259" s="3">
        <v>31</v>
      </c>
      <c r="Q259" s="3">
        <v>12</v>
      </c>
      <c r="R259" s="3">
        <v>70</v>
      </c>
    </row>
    <row r="260" spans="1:18" x14ac:dyDescent="0.25">
      <c r="A260" s="3" t="s">
        <v>476</v>
      </c>
      <c r="B260" s="3" t="s">
        <v>477</v>
      </c>
      <c r="C260" s="3">
        <v>42</v>
      </c>
      <c r="D260" s="3" t="s">
        <v>34</v>
      </c>
      <c r="E260" s="3" t="s">
        <v>21</v>
      </c>
      <c r="F260" s="3">
        <v>3662.32</v>
      </c>
      <c r="G260" s="3">
        <v>4</v>
      </c>
      <c r="H260" s="3" t="s">
        <v>42</v>
      </c>
      <c r="I260" s="3">
        <v>5</v>
      </c>
      <c r="J260" s="3">
        <v>2</v>
      </c>
      <c r="K260" s="3" t="s">
        <v>546</v>
      </c>
      <c r="L260" s="3" t="s">
        <v>543</v>
      </c>
      <c r="M260" s="3" t="s">
        <v>550</v>
      </c>
      <c r="N260" s="3">
        <v>0.1</v>
      </c>
      <c r="O260" s="3">
        <v>560000</v>
      </c>
      <c r="P260" s="3">
        <v>90</v>
      </c>
      <c r="Q260" s="3">
        <v>13</v>
      </c>
      <c r="R260" s="3">
        <v>60</v>
      </c>
    </row>
    <row r="261" spans="1:18" x14ac:dyDescent="0.25">
      <c r="A261" s="3" t="s">
        <v>478</v>
      </c>
      <c r="B261" s="3" t="s">
        <v>479</v>
      </c>
      <c r="C261" s="3">
        <v>19</v>
      </c>
      <c r="D261" s="3" t="s">
        <v>25</v>
      </c>
      <c r="E261" s="3" t="s">
        <v>48</v>
      </c>
      <c r="F261" s="3">
        <v>4304.53</v>
      </c>
      <c r="G261" s="3">
        <v>4</v>
      </c>
      <c r="H261" s="3" t="s">
        <v>36</v>
      </c>
      <c r="I261" s="3">
        <v>10</v>
      </c>
      <c r="J261" s="3">
        <v>1</v>
      </c>
      <c r="K261" s="3" t="s">
        <v>546</v>
      </c>
      <c r="L261" s="3" t="s">
        <v>551</v>
      </c>
      <c r="M261" s="3" t="s">
        <v>11</v>
      </c>
      <c r="N261" s="3">
        <v>0.05</v>
      </c>
      <c r="O261" s="3">
        <v>400000</v>
      </c>
      <c r="P261" s="3">
        <v>80</v>
      </c>
      <c r="Q261" s="3">
        <v>7</v>
      </c>
      <c r="R261" s="3">
        <v>40</v>
      </c>
    </row>
    <row r="262" spans="1:18" x14ac:dyDescent="0.25">
      <c r="A262" s="3" t="s">
        <v>480</v>
      </c>
      <c r="B262" s="3" t="s">
        <v>481</v>
      </c>
      <c r="C262" s="3">
        <v>50</v>
      </c>
      <c r="D262" s="3" t="s">
        <v>25</v>
      </c>
      <c r="E262" s="3" t="s">
        <v>26</v>
      </c>
      <c r="F262" s="3">
        <v>3618.54</v>
      </c>
      <c r="G262" s="3">
        <v>4</v>
      </c>
      <c r="H262" s="3" t="s">
        <v>39</v>
      </c>
      <c r="I262" s="3">
        <v>9</v>
      </c>
      <c r="J262" s="3">
        <v>1</v>
      </c>
      <c r="K262" s="3" t="s">
        <v>546</v>
      </c>
      <c r="L262" s="3" t="s">
        <v>545</v>
      </c>
      <c r="M262" s="3" t="s">
        <v>39</v>
      </c>
      <c r="N262" s="3">
        <v>0.12</v>
      </c>
      <c r="O262" s="3">
        <v>240000</v>
      </c>
      <c r="P262" s="3">
        <v>50</v>
      </c>
      <c r="Q262" s="3">
        <v>14</v>
      </c>
      <c r="R262" s="3">
        <v>30</v>
      </c>
    </row>
    <row r="263" spans="1:18" x14ac:dyDescent="0.25">
      <c r="A263" s="3" t="s">
        <v>482</v>
      </c>
      <c r="B263" s="3" t="s">
        <v>483</v>
      </c>
      <c r="C263" s="3">
        <v>37</v>
      </c>
      <c r="D263" s="3" t="s">
        <v>25</v>
      </c>
      <c r="E263" s="3" t="s">
        <v>48</v>
      </c>
      <c r="F263" s="3">
        <v>320.44</v>
      </c>
      <c r="G263" s="3">
        <v>2</v>
      </c>
      <c r="H263" s="3" t="s">
        <v>39</v>
      </c>
      <c r="I263" s="3">
        <v>3</v>
      </c>
      <c r="J263" s="3">
        <v>4</v>
      </c>
      <c r="K263" s="3" t="s">
        <v>546</v>
      </c>
      <c r="L263" s="3" t="s">
        <v>551</v>
      </c>
      <c r="M263" s="3" t="s">
        <v>39</v>
      </c>
      <c r="N263" s="3">
        <v>0.05</v>
      </c>
      <c r="O263" s="3">
        <v>400000</v>
      </c>
      <c r="P263" s="3">
        <v>50</v>
      </c>
      <c r="Q263" s="3">
        <v>7</v>
      </c>
      <c r="R263" s="3">
        <v>40</v>
      </c>
    </row>
    <row r="264" spans="1:18" x14ac:dyDescent="0.25">
      <c r="A264" s="3" t="s">
        <v>484</v>
      </c>
      <c r="B264" s="3" t="s">
        <v>141</v>
      </c>
      <c r="C264" s="3">
        <v>59</v>
      </c>
      <c r="D264" s="3" t="s">
        <v>34</v>
      </c>
      <c r="E264" s="3" t="s">
        <v>26</v>
      </c>
      <c r="F264" s="3">
        <v>4981.6099999999997</v>
      </c>
      <c r="G264" s="3">
        <v>5</v>
      </c>
      <c r="H264" s="3" t="s">
        <v>22</v>
      </c>
      <c r="I264" s="3">
        <v>8</v>
      </c>
      <c r="J264" s="3">
        <v>2</v>
      </c>
      <c r="K264" s="3" t="s">
        <v>546</v>
      </c>
      <c r="L264" s="3" t="s">
        <v>545</v>
      </c>
      <c r="M264" s="3" t="s">
        <v>544</v>
      </c>
      <c r="N264" s="3">
        <v>0.12</v>
      </c>
      <c r="O264" s="3">
        <v>240000</v>
      </c>
      <c r="P264" s="3">
        <v>31</v>
      </c>
      <c r="Q264" s="3">
        <v>14</v>
      </c>
      <c r="R264" s="3">
        <v>30</v>
      </c>
    </row>
    <row r="265" spans="1:18" x14ac:dyDescent="0.25">
      <c r="A265" s="3" t="s">
        <v>485</v>
      </c>
      <c r="B265" s="3" t="s">
        <v>486</v>
      </c>
      <c r="C265" s="3">
        <v>54</v>
      </c>
      <c r="D265" s="3" t="s">
        <v>25</v>
      </c>
      <c r="E265" s="3" t="s">
        <v>35</v>
      </c>
      <c r="F265" s="3">
        <v>3810.29</v>
      </c>
      <c r="G265" s="3">
        <v>2</v>
      </c>
      <c r="H265" s="3" t="s">
        <v>39</v>
      </c>
      <c r="I265" s="3">
        <v>2</v>
      </c>
      <c r="J265" s="3">
        <v>5</v>
      </c>
      <c r="K265" s="3" t="s">
        <v>546</v>
      </c>
      <c r="L265" s="3" t="s">
        <v>549</v>
      </c>
      <c r="M265" s="3" t="s">
        <v>39</v>
      </c>
      <c r="N265" s="3">
        <v>0.18</v>
      </c>
      <c r="O265" s="3">
        <v>450000</v>
      </c>
      <c r="P265" s="3">
        <v>50</v>
      </c>
      <c r="Q265" s="3">
        <v>15</v>
      </c>
      <c r="R265" s="3">
        <v>50</v>
      </c>
    </row>
    <row r="266" spans="1:18" x14ac:dyDescent="0.25">
      <c r="A266" s="3" t="s">
        <v>487</v>
      </c>
      <c r="B266" s="3" t="s">
        <v>488</v>
      </c>
      <c r="C266" s="3">
        <v>32</v>
      </c>
      <c r="D266" s="3" t="s">
        <v>34</v>
      </c>
      <c r="E266" s="3" t="s">
        <v>35</v>
      </c>
      <c r="F266" s="3">
        <v>1098.8900000000001</v>
      </c>
      <c r="G266" s="3">
        <v>4</v>
      </c>
      <c r="H266" s="3" t="s">
        <v>39</v>
      </c>
      <c r="I266" s="3">
        <v>10</v>
      </c>
      <c r="J266" s="3">
        <v>5</v>
      </c>
      <c r="K266" s="3" t="s">
        <v>542</v>
      </c>
      <c r="L266" s="3" t="s">
        <v>549</v>
      </c>
      <c r="M266" s="3" t="s">
        <v>39</v>
      </c>
      <c r="N266" s="3">
        <v>0.18</v>
      </c>
      <c r="O266" s="3">
        <v>450000</v>
      </c>
      <c r="P266" s="3">
        <v>50</v>
      </c>
      <c r="Q266" s="3">
        <v>15</v>
      </c>
      <c r="R266" s="3">
        <v>50</v>
      </c>
    </row>
    <row r="267" spans="1:18" x14ac:dyDescent="0.25">
      <c r="A267" s="3" t="s">
        <v>489</v>
      </c>
      <c r="B267" s="3" t="s">
        <v>490</v>
      </c>
      <c r="C267" s="3">
        <v>19</v>
      </c>
      <c r="D267" s="3" t="s">
        <v>45</v>
      </c>
      <c r="E267" s="3" t="s">
        <v>51</v>
      </c>
      <c r="F267" s="3">
        <v>4712.2299999999996</v>
      </c>
      <c r="G267" s="3">
        <v>3</v>
      </c>
      <c r="H267" s="3" t="s">
        <v>36</v>
      </c>
      <c r="I267" s="3">
        <v>9</v>
      </c>
      <c r="J267" s="3">
        <v>2</v>
      </c>
      <c r="K267" s="3" t="s">
        <v>546</v>
      </c>
      <c r="L267" s="3" t="s">
        <v>552</v>
      </c>
      <c r="M267" s="3" t="s">
        <v>11</v>
      </c>
      <c r="N267" s="3">
        <v>0.14000000000000001</v>
      </c>
      <c r="O267" s="3">
        <v>300000</v>
      </c>
      <c r="P267" s="3">
        <v>80</v>
      </c>
      <c r="Q267" s="3">
        <v>12</v>
      </c>
      <c r="R267" s="3">
        <v>70</v>
      </c>
    </row>
    <row r="268" spans="1:18" x14ac:dyDescent="0.25">
      <c r="A268" s="3" t="s">
        <v>491</v>
      </c>
      <c r="B268" s="3" t="s">
        <v>416</v>
      </c>
      <c r="C268" s="3">
        <v>57</v>
      </c>
      <c r="D268" s="3" t="s">
        <v>54</v>
      </c>
      <c r="E268" s="3" t="s">
        <v>30</v>
      </c>
      <c r="F268" s="3">
        <v>3035.49</v>
      </c>
      <c r="G268" s="3">
        <v>1</v>
      </c>
      <c r="H268" s="3" t="s">
        <v>42</v>
      </c>
      <c r="I268" s="3">
        <v>6</v>
      </c>
      <c r="J268" s="3">
        <v>2</v>
      </c>
      <c r="K268" s="3" t="s">
        <v>546</v>
      </c>
      <c r="L268" s="3" t="s">
        <v>547</v>
      </c>
      <c r="M268" s="3" t="s">
        <v>550</v>
      </c>
      <c r="N268" s="3">
        <v>0.12</v>
      </c>
      <c r="O268" s="3">
        <v>350000</v>
      </c>
      <c r="P268" s="3">
        <v>90</v>
      </c>
      <c r="Q268" s="3">
        <v>12</v>
      </c>
      <c r="R268" s="3">
        <v>100</v>
      </c>
    </row>
    <row r="269" spans="1:18" x14ac:dyDescent="0.25">
      <c r="A269" s="3" t="s">
        <v>492</v>
      </c>
      <c r="B269" s="3" t="s">
        <v>196</v>
      </c>
      <c r="C269" s="3">
        <v>48</v>
      </c>
      <c r="D269" s="3" t="s">
        <v>25</v>
      </c>
      <c r="E269" s="3" t="s">
        <v>51</v>
      </c>
      <c r="F269" s="3">
        <v>324.32</v>
      </c>
      <c r="G269" s="3">
        <v>3</v>
      </c>
      <c r="H269" s="3" t="s">
        <v>31</v>
      </c>
      <c r="I269" s="3">
        <v>3</v>
      </c>
      <c r="J269" s="3">
        <v>2</v>
      </c>
      <c r="K269" s="3" t="s">
        <v>546</v>
      </c>
      <c r="L269" s="3" t="s">
        <v>552</v>
      </c>
      <c r="M269" s="3" t="s">
        <v>548</v>
      </c>
      <c r="N269" s="3">
        <v>0.14000000000000001</v>
      </c>
      <c r="O269" s="3">
        <v>300000</v>
      </c>
      <c r="P269" s="3">
        <v>50</v>
      </c>
      <c r="Q269" s="3">
        <v>12</v>
      </c>
      <c r="R269" s="3">
        <v>70</v>
      </c>
    </row>
    <row r="270" spans="1:18" x14ac:dyDescent="0.25">
      <c r="A270" s="3" t="s">
        <v>493</v>
      </c>
      <c r="B270" s="3" t="s">
        <v>111</v>
      </c>
      <c r="C270" s="3">
        <v>26</v>
      </c>
      <c r="D270" s="3" t="s">
        <v>25</v>
      </c>
      <c r="E270" s="3" t="s">
        <v>26</v>
      </c>
      <c r="F270" s="3">
        <v>2392.4699999999998</v>
      </c>
      <c r="G270" s="3">
        <v>1</v>
      </c>
      <c r="H270" s="3" t="s">
        <v>42</v>
      </c>
      <c r="I270" s="3">
        <v>8</v>
      </c>
      <c r="J270" s="3">
        <v>4</v>
      </c>
      <c r="K270" s="3" t="s">
        <v>546</v>
      </c>
      <c r="L270" s="3" t="s">
        <v>545</v>
      </c>
      <c r="M270" s="3" t="s">
        <v>550</v>
      </c>
      <c r="N270" s="3">
        <v>0.12</v>
      </c>
      <c r="O270" s="3">
        <v>240000</v>
      </c>
      <c r="P270" s="3">
        <v>90</v>
      </c>
      <c r="Q270" s="3">
        <v>14</v>
      </c>
      <c r="R270" s="3">
        <v>30</v>
      </c>
    </row>
    <row r="271" spans="1:18" x14ac:dyDescent="0.25">
      <c r="A271" s="3" t="s">
        <v>494</v>
      </c>
      <c r="B271" s="3" t="s">
        <v>495</v>
      </c>
      <c r="C271" s="3">
        <v>24</v>
      </c>
      <c r="D271" s="3" t="s">
        <v>34</v>
      </c>
      <c r="E271" s="3" t="s">
        <v>21</v>
      </c>
      <c r="F271" s="3">
        <v>1821.85</v>
      </c>
      <c r="G271" s="3">
        <v>2</v>
      </c>
      <c r="H271" s="3" t="s">
        <v>36</v>
      </c>
      <c r="I271" s="3">
        <v>4</v>
      </c>
      <c r="J271" s="3">
        <v>4</v>
      </c>
      <c r="K271" s="3" t="s">
        <v>546</v>
      </c>
      <c r="L271" s="3" t="s">
        <v>543</v>
      </c>
      <c r="M271" s="3" t="s">
        <v>11</v>
      </c>
      <c r="N271" s="3">
        <v>0.1</v>
      </c>
      <c r="O271" s="3">
        <v>560000</v>
      </c>
      <c r="P271" s="3">
        <v>80</v>
      </c>
      <c r="Q271" s="3">
        <v>13</v>
      </c>
      <c r="R271" s="3">
        <v>60</v>
      </c>
    </row>
    <row r="272" spans="1:18" x14ac:dyDescent="0.25">
      <c r="A272" s="3" t="s">
        <v>496</v>
      </c>
      <c r="B272" s="3" t="s">
        <v>497</v>
      </c>
      <c r="C272" s="3">
        <v>29</v>
      </c>
      <c r="D272" s="3" t="s">
        <v>54</v>
      </c>
      <c r="E272" s="3" t="s">
        <v>51</v>
      </c>
      <c r="F272" s="3">
        <v>459.52</v>
      </c>
      <c r="G272" s="3">
        <v>3</v>
      </c>
      <c r="H272" s="3" t="s">
        <v>36</v>
      </c>
      <c r="I272" s="3">
        <v>1</v>
      </c>
      <c r="J272" s="3">
        <v>5</v>
      </c>
      <c r="K272" s="3" t="s">
        <v>542</v>
      </c>
      <c r="L272" s="3" t="s">
        <v>552</v>
      </c>
      <c r="M272" s="3" t="s">
        <v>11</v>
      </c>
      <c r="N272" s="3">
        <v>0.14000000000000001</v>
      </c>
      <c r="O272" s="3">
        <v>300000</v>
      </c>
      <c r="P272" s="3">
        <v>80</v>
      </c>
      <c r="Q272" s="3">
        <v>12</v>
      </c>
      <c r="R272" s="3">
        <v>70</v>
      </c>
    </row>
    <row r="273" spans="1:18" x14ac:dyDescent="0.25">
      <c r="A273" s="3" t="s">
        <v>498</v>
      </c>
      <c r="B273" s="3" t="s">
        <v>499</v>
      </c>
      <c r="C273" s="3">
        <v>43</v>
      </c>
      <c r="D273" s="3" t="s">
        <v>25</v>
      </c>
      <c r="E273" s="3" t="s">
        <v>26</v>
      </c>
      <c r="F273" s="3">
        <v>368.87</v>
      </c>
      <c r="G273" s="3">
        <v>4</v>
      </c>
      <c r="H273" s="3" t="s">
        <v>22</v>
      </c>
      <c r="I273" s="3">
        <v>7</v>
      </c>
      <c r="J273" s="3">
        <v>1</v>
      </c>
      <c r="K273" s="3" t="s">
        <v>546</v>
      </c>
      <c r="L273" s="3" t="s">
        <v>545</v>
      </c>
      <c r="M273" s="3" t="s">
        <v>544</v>
      </c>
      <c r="N273" s="3">
        <v>0.12</v>
      </c>
      <c r="O273" s="3">
        <v>240000</v>
      </c>
      <c r="P273" s="3">
        <v>31</v>
      </c>
      <c r="Q273" s="3">
        <v>14</v>
      </c>
      <c r="R273" s="3">
        <v>30</v>
      </c>
    </row>
    <row r="274" spans="1:18" x14ac:dyDescent="0.25">
      <c r="A274" s="3" t="s">
        <v>500</v>
      </c>
      <c r="B274" s="3" t="s">
        <v>501</v>
      </c>
      <c r="C274" s="3">
        <v>18</v>
      </c>
      <c r="D274" s="3" t="s">
        <v>25</v>
      </c>
      <c r="E274" s="3" t="s">
        <v>30</v>
      </c>
      <c r="F274" s="3">
        <v>4375.1000000000004</v>
      </c>
      <c r="G274" s="3">
        <v>3</v>
      </c>
      <c r="H274" s="3" t="s">
        <v>31</v>
      </c>
      <c r="I274" s="3">
        <v>7</v>
      </c>
      <c r="J274" s="3">
        <v>3</v>
      </c>
      <c r="K274" s="3" t="s">
        <v>546</v>
      </c>
      <c r="L274" s="3" t="s">
        <v>547</v>
      </c>
      <c r="M274" s="3" t="s">
        <v>548</v>
      </c>
      <c r="N274" s="3">
        <v>0.12</v>
      </c>
      <c r="O274" s="3">
        <v>350000</v>
      </c>
      <c r="P274" s="3">
        <v>50</v>
      </c>
      <c r="Q274" s="3">
        <v>12</v>
      </c>
      <c r="R274" s="3">
        <v>100</v>
      </c>
    </row>
    <row r="275" spans="1:18" x14ac:dyDescent="0.25">
      <c r="A275" s="3" t="s">
        <v>502</v>
      </c>
      <c r="B275" s="3" t="s">
        <v>503</v>
      </c>
      <c r="C275" s="3">
        <v>50</v>
      </c>
      <c r="D275" s="3" t="s">
        <v>29</v>
      </c>
      <c r="E275" s="3" t="s">
        <v>30</v>
      </c>
      <c r="F275" s="3">
        <v>2750</v>
      </c>
      <c r="G275" s="3">
        <v>3</v>
      </c>
      <c r="H275" s="3" t="s">
        <v>36</v>
      </c>
      <c r="I275" s="3">
        <v>1</v>
      </c>
      <c r="J275" s="3">
        <v>1</v>
      </c>
      <c r="K275" s="3" t="s">
        <v>546</v>
      </c>
      <c r="L275" s="3" t="s">
        <v>547</v>
      </c>
      <c r="M275" s="3" t="s">
        <v>11</v>
      </c>
      <c r="N275" s="3">
        <v>0.12</v>
      </c>
      <c r="O275" s="3">
        <v>350000</v>
      </c>
      <c r="P275" s="3">
        <v>80</v>
      </c>
      <c r="Q275" s="3">
        <v>12</v>
      </c>
      <c r="R275" s="3">
        <v>100</v>
      </c>
    </row>
    <row r="276" spans="1:18" x14ac:dyDescent="0.25">
      <c r="A276" s="3" t="s">
        <v>504</v>
      </c>
      <c r="B276" s="3" t="s">
        <v>505</v>
      </c>
      <c r="C276" s="3">
        <v>48</v>
      </c>
      <c r="D276" s="3" t="s">
        <v>29</v>
      </c>
      <c r="E276" s="3" t="s">
        <v>26</v>
      </c>
      <c r="F276" s="3">
        <v>1773.66</v>
      </c>
      <c r="G276" s="3">
        <v>5</v>
      </c>
      <c r="H276" s="3" t="s">
        <v>36</v>
      </c>
      <c r="I276" s="3">
        <v>7</v>
      </c>
      <c r="J276" s="3">
        <v>2</v>
      </c>
      <c r="K276" s="3" t="s">
        <v>546</v>
      </c>
      <c r="L276" s="3" t="s">
        <v>545</v>
      </c>
      <c r="M276" s="3" t="s">
        <v>11</v>
      </c>
      <c r="N276" s="3">
        <v>0.12</v>
      </c>
      <c r="O276" s="3">
        <v>240000</v>
      </c>
      <c r="P276" s="3">
        <v>80</v>
      </c>
      <c r="Q276" s="3">
        <v>14</v>
      </c>
      <c r="R276" s="3">
        <v>30</v>
      </c>
    </row>
    <row r="277" spans="1:18" x14ac:dyDescent="0.25">
      <c r="A277" s="3" t="s">
        <v>506</v>
      </c>
      <c r="B277" s="3" t="s">
        <v>261</v>
      </c>
      <c r="C277" s="3">
        <v>45</v>
      </c>
      <c r="D277" s="3" t="s">
        <v>45</v>
      </c>
      <c r="E277" s="3" t="s">
        <v>21</v>
      </c>
      <c r="F277" s="3">
        <v>2434.5300000000002</v>
      </c>
      <c r="G277" s="3">
        <v>3</v>
      </c>
      <c r="H277" s="3" t="s">
        <v>39</v>
      </c>
      <c r="I277" s="3">
        <v>8</v>
      </c>
      <c r="J277" s="3">
        <v>4</v>
      </c>
      <c r="K277" s="3" t="s">
        <v>542</v>
      </c>
      <c r="L277" s="3" t="s">
        <v>543</v>
      </c>
      <c r="M277" s="3" t="s">
        <v>39</v>
      </c>
      <c r="N277" s="3">
        <v>0.1</v>
      </c>
      <c r="O277" s="3">
        <v>560000</v>
      </c>
      <c r="P277" s="3">
        <v>50</v>
      </c>
      <c r="Q277" s="3">
        <v>13</v>
      </c>
      <c r="R277" s="3">
        <v>60</v>
      </c>
    </row>
    <row r="278" spans="1:18" x14ac:dyDescent="0.25">
      <c r="A278" s="3" t="s">
        <v>507</v>
      </c>
      <c r="B278" s="3" t="s">
        <v>508</v>
      </c>
      <c r="C278" s="3">
        <v>20</v>
      </c>
      <c r="D278" s="3" t="s">
        <v>34</v>
      </c>
      <c r="E278" s="3" t="s">
        <v>21</v>
      </c>
      <c r="F278" s="3">
        <v>940.15</v>
      </c>
      <c r="G278" s="3">
        <v>3</v>
      </c>
      <c r="H278" s="3" t="s">
        <v>42</v>
      </c>
      <c r="I278" s="3">
        <v>8</v>
      </c>
      <c r="J278" s="3">
        <v>3</v>
      </c>
      <c r="K278" s="3" t="s">
        <v>546</v>
      </c>
      <c r="L278" s="3" t="s">
        <v>543</v>
      </c>
      <c r="M278" s="3" t="s">
        <v>550</v>
      </c>
      <c r="N278" s="3">
        <v>0.1</v>
      </c>
      <c r="O278" s="3">
        <v>560000</v>
      </c>
      <c r="P278" s="3">
        <v>90</v>
      </c>
      <c r="Q278" s="3">
        <v>13</v>
      </c>
      <c r="R278" s="3">
        <v>60</v>
      </c>
    </row>
    <row r="279" spans="1:18" x14ac:dyDescent="0.25">
      <c r="A279" s="3" t="s">
        <v>509</v>
      </c>
      <c r="B279" s="3" t="s">
        <v>84</v>
      </c>
      <c r="C279" s="3">
        <v>42</v>
      </c>
      <c r="D279" s="3" t="s">
        <v>54</v>
      </c>
      <c r="E279" s="3" t="s">
        <v>21</v>
      </c>
      <c r="F279" s="3">
        <v>1342.47</v>
      </c>
      <c r="G279" s="3">
        <v>1</v>
      </c>
      <c r="H279" s="3" t="s">
        <v>39</v>
      </c>
      <c r="I279" s="3">
        <v>9</v>
      </c>
      <c r="J279" s="3">
        <v>5</v>
      </c>
      <c r="K279" s="3" t="s">
        <v>546</v>
      </c>
      <c r="L279" s="3" t="s">
        <v>543</v>
      </c>
      <c r="M279" s="3" t="s">
        <v>39</v>
      </c>
      <c r="N279" s="3">
        <v>0.1</v>
      </c>
      <c r="O279" s="3">
        <v>560000</v>
      </c>
      <c r="P279" s="3">
        <v>50</v>
      </c>
      <c r="Q279" s="3">
        <v>13</v>
      </c>
      <c r="R279" s="3">
        <v>60</v>
      </c>
    </row>
    <row r="280" spans="1:18" x14ac:dyDescent="0.25">
      <c r="A280" s="3" t="s">
        <v>510</v>
      </c>
      <c r="B280" s="3" t="s">
        <v>511</v>
      </c>
      <c r="C280" s="3">
        <v>60</v>
      </c>
      <c r="D280" s="3" t="s">
        <v>45</v>
      </c>
      <c r="E280" s="3" t="s">
        <v>26</v>
      </c>
      <c r="F280" s="3">
        <v>4399.2299999999996</v>
      </c>
      <c r="G280" s="3">
        <v>1</v>
      </c>
      <c r="H280" s="3" t="s">
        <v>42</v>
      </c>
      <c r="I280" s="3">
        <v>8</v>
      </c>
      <c r="J280" s="3">
        <v>1</v>
      </c>
      <c r="K280" s="3" t="s">
        <v>546</v>
      </c>
      <c r="L280" s="3" t="s">
        <v>545</v>
      </c>
      <c r="M280" s="3" t="s">
        <v>550</v>
      </c>
      <c r="N280" s="3">
        <v>0.12</v>
      </c>
      <c r="O280" s="3">
        <v>240000</v>
      </c>
      <c r="P280" s="3">
        <v>90</v>
      </c>
      <c r="Q280" s="3">
        <v>14</v>
      </c>
      <c r="R280" s="3">
        <v>30</v>
      </c>
    </row>
    <row r="281" spans="1:18" x14ac:dyDescent="0.25">
      <c r="A281" s="3" t="s">
        <v>512</v>
      </c>
      <c r="B281" s="3" t="s">
        <v>513</v>
      </c>
      <c r="C281" s="3">
        <v>56</v>
      </c>
      <c r="D281" s="3" t="s">
        <v>25</v>
      </c>
      <c r="E281" s="3" t="s">
        <v>48</v>
      </c>
      <c r="F281" s="3">
        <v>3583.52</v>
      </c>
      <c r="G281" s="3">
        <v>4</v>
      </c>
      <c r="H281" s="3" t="s">
        <v>36</v>
      </c>
      <c r="I281" s="3">
        <v>1</v>
      </c>
      <c r="J281" s="3">
        <v>4</v>
      </c>
      <c r="K281" s="3" t="s">
        <v>542</v>
      </c>
      <c r="L281" s="3" t="s">
        <v>551</v>
      </c>
      <c r="M281" s="3" t="s">
        <v>11</v>
      </c>
      <c r="N281" s="3">
        <v>0.05</v>
      </c>
      <c r="O281" s="3">
        <v>400000</v>
      </c>
      <c r="P281" s="3">
        <v>80</v>
      </c>
      <c r="Q281" s="3">
        <v>7</v>
      </c>
      <c r="R281" s="3">
        <v>40</v>
      </c>
    </row>
    <row r="282" spans="1:18" x14ac:dyDescent="0.25">
      <c r="A282" s="3" t="s">
        <v>514</v>
      </c>
      <c r="B282" s="3" t="s">
        <v>231</v>
      </c>
      <c r="C282" s="3">
        <v>40</v>
      </c>
      <c r="D282" s="3" t="s">
        <v>29</v>
      </c>
      <c r="E282" s="3" t="s">
        <v>26</v>
      </c>
      <c r="F282" s="3">
        <v>3643.09</v>
      </c>
      <c r="G282" s="3">
        <v>4</v>
      </c>
      <c r="H282" s="3" t="s">
        <v>22</v>
      </c>
      <c r="I282" s="3">
        <v>7</v>
      </c>
      <c r="J282" s="3">
        <v>1</v>
      </c>
      <c r="K282" s="3" t="s">
        <v>546</v>
      </c>
      <c r="L282" s="3" t="s">
        <v>545</v>
      </c>
      <c r="M282" s="3" t="s">
        <v>544</v>
      </c>
      <c r="N282" s="3">
        <v>0.12</v>
      </c>
      <c r="O282" s="3">
        <v>240000</v>
      </c>
      <c r="P282" s="3">
        <v>31</v>
      </c>
      <c r="Q282" s="3">
        <v>14</v>
      </c>
      <c r="R282" s="3">
        <v>30</v>
      </c>
    </row>
    <row r="283" spans="1:18" x14ac:dyDescent="0.25">
      <c r="A283" s="3" t="s">
        <v>515</v>
      </c>
      <c r="B283" s="3" t="s">
        <v>516</v>
      </c>
      <c r="C283" s="3">
        <v>28</v>
      </c>
      <c r="D283" s="3" t="s">
        <v>20</v>
      </c>
      <c r="E283" s="3" t="s">
        <v>21</v>
      </c>
      <c r="F283" s="3">
        <v>3776.14</v>
      </c>
      <c r="G283" s="3">
        <v>1</v>
      </c>
      <c r="H283" s="3" t="s">
        <v>39</v>
      </c>
      <c r="I283" s="3">
        <v>9</v>
      </c>
      <c r="J283" s="3">
        <v>4</v>
      </c>
      <c r="K283" s="3" t="s">
        <v>546</v>
      </c>
      <c r="L283" s="3" t="s">
        <v>543</v>
      </c>
      <c r="M283" s="3" t="s">
        <v>39</v>
      </c>
      <c r="N283" s="3">
        <v>0.1</v>
      </c>
      <c r="O283" s="3">
        <v>560000</v>
      </c>
      <c r="P283" s="3">
        <v>50</v>
      </c>
      <c r="Q283" s="3">
        <v>13</v>
      </c>
      <c r="R283" s="3">
        <v>60</v>
      </c>
    </row>
    <row r="284" spans="1:18" x14ac:dyDescent="0.25">
      <c r="A284" s="3" t="s">
        <v>517</v>
      </c>
      <c r="B284" s="3" t="s">
        <v>518</v>
      </c>
      <c r="C284" s="3">
        <v>36</v>
      </c>
      <c r="D284" s="3" t="s">
        <v>29</v>
      </c>
      <c r="E284" s="3" t="s">
        <v>21</v>
      </c>
      <c r="F284" s="3">
        <v>1509.4</v>
      </c>
      <c r="G284" s="3">
        <v>4</v>
      </c>
      <c r="H284" s="3" t="s">
        <v>31</v>
      </c>
      <c r="I284" s="3">
        <v>2</v>
      </c>
      <c r="J284" s="3">
        <v>5</v>
      </c>
      <c r="K284" s="3" t="s">
        <v>542</v>
      </c>
      <c r="L284" s="3" t="s">
        <v>543</v>
      </c>
      <c r="M284" s="3" t="s">
        <v>548</v>
      </c>
      <c r="N284" s="3">
        <v>0.1</v>
      </c>
      <c r="O284" s="3">
        <v>560000</v>
      </c>
      <c r="P284" s="3">
        <v>50</v>
      </c>
      <c r="Q284" s="3">
        <v>13</v>
      </c>
      <c r="R284" s="3">
        <v>60</v>
      </c>
    </row>
    <row r="285" spans="1:18" x14ac:dyDescent="0.25">
      <c r="A285" s="3" t="s">
        <v>519</v>
      </c>
      <c r="B285" s="3" t="s">
        <v>520</v>
      </c>
      <c r="C285" s="3">
        <v>52</v>
      </c>
      <c r="D285" s="3" t="s">
        <v>34</v>
      </c>
      <c r="E285" s="3" t="s">
        <v>21</v>
      </c>
      <c r="F285" s="3">
        <v>2077.15</v>
      </c>
      <c r="G285" s="3">
        <v>3</v>
      </c>
      <c r="H285" s="3" t="s">
        <v>39</v>
      </c>
      <c r="I285" s="3">
        <v>8</v>
      </c>
      <c r="J285" s="3">
        <v>5</v>
      </c>
      <c r="K285" s="3" t="s">
        <v>542</v>
      </c>
      <c r="L285" s="3" t="s">
        <v>543</v>
      </c>
      <c r="M285" s="3" t="s">
        <v>39</v>
      </c>
      <c r="N285" s="3">
        <v>0.1</v>
      </c>
      <c r="O285" s="3">
        <v>560000</v>
      </c>
      <c r="P285" s="3">
        <v>50</v>
      </c>
      <c r="Q285" s="3">
        <v>13</v>
      </c>
      <c r="R285" s="3">
        <v>60</v>
      </c>
    </row>
    <row r="286" spans="1:18" x14ac:dyDescent="0.25">
      <c r="A286" s="3" t="s">
        <v>521</v>
      </c>
      <c r="B286" s="3" t="s">
        <v>522</v>
      </c>
      <c r="C286" s="3">
        <v>22</v>
      </c>
      <c r="D286" s="3" t="s">
        <v>45</v>
      </c>
      <c r="E286" s="3" t="s">
        <v>35</v>
      </c>
      <c r="F286" s="3">
        <v>2115.89</v>
      </c>
      <c r="G286" s="3">
        <v>5</v>
      </c>
      <c r="H286" s="3" t="s">
        <v>22</v>
      </c>
      <c r="I286" s="3">
        <v>9</v>
      </c>
      <c r="J286" s="3">
        <v>1</v>
      </c>
      <c r="K286" s="3" t="s">
        <v>546</v>
      </c>
      <c r="L286" s="3" t="s">
        <v>549</v>
      </c>
      <c r="M286" s="3" t="s">
        <v>544</v>
      </c>
      <c r="N286" s="3">
        <v>0.18</v>
      </c>
      <c r="O286" s="3">
        <v>450000</v>
      </c>
      <c r="P286" s="3">
        <v>31</v>
      </c>
      <c r="Q286" s="3">
        <v>15</v>
      </c>
      <c r="R286" s="3">
        <v>50</v>
      </c>
    </row>
    <row r="287" spans="1:18" x14ac:dyDescent="0.25">
      <c r="A287" s="3" t="s">
        <v>523</v>
      </c>
      <c r="B287" s="3" t="s">
        <v>338</v>
      </c>
      <c r="C287" s="3">
        <v>39</v>
      </c>
      <c r="D287" s="3" t="s">
        <v>25</v>
      </c>
      <c r="E287" s="3" t="s">
        <v>26</v>
      </c>
      <c r="F287" s="3">
        <v>4130.76</v>
      </c>
      <c r="G287" s="3">
        <v>5</v>
      </c>
      <c r="H287" s="3" t="s">
        <v>39</v>
      </c>
      <c r="I287" s="3">
        <v>1</v>
      </c>
      <c r="J287" s="3">
        <v>5</v>
      </c>
      <c r="K287" s="3" t="s">
        <v>542</v>
      </c>
      <c r="L287" s="3" t="s">
        <v>545</v>
      </c>
      <c r="M287" s="3" t="s">
        <v>39</v>
      </c>
      <c r="N287" s="3">
        <v>0.12</v>
      </c>
      <c r="O287" s="3">
        <v>240000</v>
      </c>
      <c r="P287" s="3">
        <v>50</v>
      </c>
      <c r="Q287" s="3">
        <v>14</v>
      </c>
      <c r="R287" s="3">
        <v>30</v>
      </c>
    </row>
    <row r="288" spans="1:18" x14ac:dyDescent="0.25">
      <c r="A288" s="3" t="s">
        <v>524</v>
      </c>
      <c r="B288" s="3" t="s">
        <v>19</v>
      </c>
      <c r="C288" s="3">
        <v>22</v>
      </c>
      <c r="D288" s="3" t="s">
        <v>45</v>
      </c>
      <c r="E288" s="3" t="s">
        <v>51</v>
      </c>
      <c r="F288" s="3">
        <v>1176.54</v>
      </c>
      <c r="G288" s="3">
        <v>3</v>
      </c>
      <c r="H288" s="3" t="s">
        <v>42</v>
      </c>
      <c r="I288" s="3">
        <v>10</v>
      </c>
      <c r="J288" s="3">
        <v>1</v>
      </c>
      <c r="K288" s="3" t="s">
        <v>546</v>
      </c>
      <c r="L288" s="3" t="s">
        <v>552</v>
      </c>
      <c r="M288" s="3" t="s">
        <v>550</v>
      </c>
      <c r="N288" s="3">
        <v>0.14000000000000001</v>
      </c>
      <c r="O288" s="3">
        <v>300000</v>
      </c>
      <c r="P288" s="3">
        <v>90</v>
      </c>
      <c r="Q288" s="3">
        <v>12</v>
      </c>
      <c r="R288" s="3">
        <v>70</v>
      </c>
    </row>
    <row r="289" spans="1:18" x14ac:dyDescent="0.25">
      <c r="A289" s="3" t="s">
        <v>525</v>
      </c>
      <c r="B289" s="3" t="s">
        <v>218</v>
      </c>
      <c r="C289" s="3">
        <v>19</v>
      </c>
      <c r="D289" s="3" t="s">
        <v>29</v>
      </c>
      <c r="E289" s="3" t="s">
        <v>35</v>
      </c>
      <c r="F289" s="3">
        <v>4906.8100000000004</v>
      </c>
      <c r="G289" s="3">
        <v>5</v>
      </c>
      <c r="H289" s="3" t="s">
        <v>31</v>
      </c>
      <c r="I289" s="3">
        <v>8</v>
      </c>
      <c r="J289" s="3">
        <v>3</v>
      </c>
      <c r="K289" s="3" t="s">
        <v>546</v>
      </c>
      <c r="L289" s="3" t="s">
        <v>549</v>
      </c>
      <c r="M289" s="3" t="s">
        <v>548</v>
      </c>
      <c r="N289" s="3">
        <v>0.18</v>
      </c>
      <c r="O289" s="3">
        <v>450000</v>
      </c>
      <c r="P289" s="3">
        <v>50</v>
      </c>
      <c r="Q289" s="3">
        <v>15</v>
      </c>
      <c r="R289" s="3">
        <v>50</v>
      </c>
    </row>
    <row r="290" spans="1:18" x14ac:dyDescent="0.25">
      <c r="A290" s="3" t="s">
        <v>526</v>
      </c>
      <c r="B290" s="3" t="s">
        <v>527</v>
      </c>
      <c r="C290" s="3">
        <v>28</v>
      </c>
      <c r="D290" s="3" t="s">
        <v>34</v>
      </c>
      <c r="E290" s="3" t="s">
        <v>51</v>
      </c>
      <c r="F290" s="3">
        <v>3501.63</v>
      </c>
      <c r="G290" s="3">
        <v>3</v>
      </c>
      <c r="H290" s="3" t="s">
        <v>36</v>
      </c>
      <c r="I290" s="3">
        <v>8</v>
      </c>
      <c r="J290" s="3">
        <v>3</v>
      </c>
      <c r="K290" s="3" t="s">
        <v>546</v>
      </c>
      <c r="L290" s="3" t="s">
        <v>552</v>
      </c>
      <c r="M290" s="3" t="s">
        <v>11</v>
      </c>
      <c r="N290" s="3">
        <v>0.14000000000000001</v>
      </c>
      <c r="O290" s="3">
        <v>300000</v>
      </c>
      <c r="P290" s="3">
        <v>80</v>
      </c>
      <c r="Q290" s="3">
        <v>12</v>
      </c>
      <c r="R290" s="3">
        <v>70</v>
      </c>
    </row>
    <row r="291" spans="1:18" x14ac:dyDescent="0.25">
      <c r="A291" s="3" t="s">
        <v>528</v>
      </c>
      <c r="B291" s="3" t="s">
        <v>106</v>
      </c>
      <c r="C291" s="3">
        <v>42</v>
      </c>
      <c r="D291" s="3" t="s">
        <v>20</v>
      </c>
      <c r="E291" s="3" t="s">
        <v>26</v>
      </c>
      <c r="F291" s="3">
        <v>4458.7</v>
      </c>
      <c r="G291" s="3">
        <v>5</v>
      </c>
      <c r="H291" s="3" t="s">
        <v>22</v>
      </c>
      <c r="I291" s="3">
        <v>3</v>
      </c>
      <c r="J291" s="3">
        <v>5</v>
      </c>
      <c r="K291" s="3" t="s">
        <v>542</v>
      </c>
      <c r="L291" s="3" t="s">
        <v>545</v>
      </c>
      <c r="M291" s="3" t="s">
        <v>544</v>
      </c>
      <c r="N291" s="3">
        <v>0.12</v>
      </c>
      <c r="O291" s="3">
        <v>240000</v>
      </c>
      <c r="P291" s="3">
        <v>31</v>
      </c>
      <c r="Q291" s="3">
        <v>14</v>
      </c>
      <c r="R291" s="3">
        <v>30</v>
      </c>
    </row>
    <row r="292" spans="1:18" x14ac:dyDescent="0.25">
      <c r="A292" s="3" t="s">
        <v>529</v>
      </c>
      <c r="B292" s="3" t="s">
        <v>530</v>
      </c>
      <c r="C292" s="3">
        <v>46</v>
      </c>
      <c r="D292" s="3" t="s">
        <v>20</v>
      </c>
      <c r="E292" s="3" t="s">
        <v>48</v>
      </c>
      <c r="F292" s="3">
        <v>1349.09</v>
      </c>
      <c r="G292" s="3">
        <v>4</v>
      </c>
      <c r="H292" s="3" t="s">
        <v>31</v>
      </c>
      <c r="I292" s="3">
        <v>6</v>
      </c>
      <c r="J292" s="3">
        <v>3</v>
      </c>
      <c r="K292" s="3" t="s">
        <v>546</v>
      </c>
      <c r="L292" s="3" t="s">
        <v>551</v>
      </c>
      <c r="M292" s="3" t="s">
        <v>548</v>
      </c>
      <c r="N292" s="3">
        <v>0.05</v>
      </c>
      <c r="O292" s="3">
        <v>400000</v>
      </c>
      <c r="P292" s="3">
        <v>50</v>
      </c>
      <c r="Q292" s="3">
        <v>7</v>
      </c>
      <c r="R292" s="3">
        <v>40</v>
      </c>
    </row>
    <row r="293" spans="1:18" x14ac:dyDescent="0.25">
      <c r="A293" s="3" t="s">
        <v>531</v>
      </c>
      <c r="B293" s="3" t="s">
        <v>111</v>
      </c>
      <c r="C293" s="3">
        <v>25</v>
      </c>
      <c r="D293" s="3" t="s">
        <v>25</v>
      </c>
      <c r="E293" s="3" t="s">
        <v>30</v>
      </c>
      <c r="F293" s="3">
        <v>3098</v>
      </c>
      <c r="G293" s="3">
        <v>3</v>
      </c>
      <c r="H293" s="3" t="s">
        <v>36</v>
      </c>
      <c r="I293" s="3">
        <v>1</v>
      </c>
      <c r="J293" s="3">
        <v>4</v>
      </c>
      <c r="K293" s="3" t="s">
        <v>542</v>
      </c>
      <c r="L293" s="3" t="s">
        <v>547</v>
      </c>
      <c r="M293" s="3" t="s">
        <v>11</v>
      </c>
      <c r="N293" s="3">
        <v>0.12</v>
      </c>
      <c r="O293" s="3">
        <v>350000</v>
      </c>
      <c r="P293" s="3">
        <v>80</v>
      </c>
      <c r="Q293" s="3">
        <v>12</v>
      </c>
      <c r="R293" s="3">
        <v>100</v>
      </c>
    </row>
    <row r="294" spans="1:18" x14ac:dyDescent="0.25">
      <c r="A294" s="3" t="s">
        <v>532</v>
      </c>
      <c r="B294" s="3" t="s">
        <v>533</v>
      </c>
      <c r="C294" s="3">
        <v>20</v>
      </c>
      <c r="D294" s="3" t="s">
        <v>29</v>
      </c>
      <c r="E294" s="3" t="s">
        <v>30</v>
      </c>
      <c r="F294" s="3">
        <v>1013.6</v>
      </c>
      <c r="G294" s="3">
        <v>5</v>
      </c>
      <c r="H294" s="3" t="s">
        <v>39</v>
      </c>
      <c r="I294" s="3">
        <v>10</v>
      </c>
      <c r="J294" s="3">
        <v>4</v>
      </c>
      <c r="K294" s="3" t="s">
        <v>542</v>
      </c>
      <c r="L294" s="3" t="s">
        <v>547</v>
      </c>
      <c r="M294" s="3" t="s">
        <v>39</v>
      </c>
      <c r="N294" s="3">
        <v>0.12</v>
      </c>
      <c r="O294" s="3">
        <v>350000</v>
      </c>
      <c r="P294" s="3">
        <v>50</v>
      </c>
      <c r="Q294" s="3">
        <v>12</v>
      </c>
      <c r="R294" s="3">
        <v>100</v>
      </c>
    </row>
    <row r="295" spans="1:18" x14ac:dyDescent="0.25">
      <c r="A295" s="3" t="s">
        <v>534</v>
      </c>
      <c r="B295" s="3" t="s">
        <v>133</v>
      </c>
      <c r="C295" s="3">
        <v>52</v>
      </c>
      <c r="D295" s="3" t="s">
        <v>25</v>
      </c>
      <c r="E295" s="3" t="s">
        <v>30</v>
      </c>
      <c r="F295" s="3">
        <v>1860.67</v>
      </c>
      <c r="G295" s="3">
        <v>1</v>
      </c>
      <c r="H295" s="3" t="s">
        <v>31</v>
      </c>
      <c r="I295" s="3">
        <v>8</v>
      </c>
      <c r="J295" s="3">
        <v>2</v>
      </c>
      <c r="K295" s="3" t="s">
        <v>546</v>
      </c>
      <c r="L295" s="3" t="s">
        <v>547</v>
      </c>
      <c r="M295" s="3" t="s">
        <v>548</v>
      </c>
      <c r="N295" s="3">
        <v>0.12</v>
      </c>
      <c r="O295" s="3">
        <v>350000</v>
      </c>
      <c r="P295" s="3">
        <v>50</v>
      </c>
      <c r="Q295" s="3">
        <v>12</v>
      </c>
      <c r="R295" s="3">
        <v>100</v>
      </c>
    </row>
    <row r="296" spans="1:18" x14ac:dyDescent="0.25">
      <c r="A296" s="3" t="s">
        <v>535</v>
      </c>
      <c r="B296" s="3" t="s">
        <v>399</v>
      </c>
      <c r="C296" s="3">
        <v>51</v>
      </c>
      <c r="D296" s="3" t="s">
        <v>25</v>
      </c>
      <c r="E296" s="3" t="s">
        <v>30</v>
      </c>
      <c r="F296" s="3">
        <v>2340.4499999999998</v>
      </c>
      <c r="G296" s="3">
        <v>1</v>
      </c>
      <c r="H296" s="3" t="s">
        <v>42</v>
      </c>
      <c r="I296" s="3">
        <v>1</v>
      </c>
      <c r="J296" s="3">
        <v>1</v>
      </c>
      <c r="K296" s="3" t="s">
        <v>546</v>
      </c>
      <c r="L296" s="3" t="s">
        <v>547</v>
      </c>
      <c r="M296" s="3" t="s">
        <v>550</v>
      </c>
      <c r="N296" s="3">
        <v>0.12</v>
      </c>
      <c r="O296" s="3">
        <v>350000</v>
      </c>
      <c r="P296" s="3">
        <v>90</v>
      </c>
      <c r="Q296" s="3">
        <v>12</v>
      </c>
      <c r="R296" s="3">
        <v>100</v>
      </c>
    </row>
    <row r="297" spans="1:18" x14ac:dyDescent="0.25">
      <c r="A297" s="3" t="s">
        <v>536</v>
      </c>
      <c r="B297" s="3" t="s">
        <v>454</v>
      </c>
      <c r="C297" s="3">
        <v>19</v>
      </c>
      <c r="D297" s="3" t="s">
        <v>34</v>
      </c>
      <c r="E297" s="3" t="s">
        <v>30</v>
      </c>
      <c r="F297" s="3">
        <v>611</v>
      </c>
      <c r="G297" s="3">
        <v>4</v>
      </c>
      <c r="H297" s="3" t="s">
        <v>42</v>
      </c>
      <c r="I297" s="3">
        <v>8</v>
      </c>
      <c r="J297" s="3">
        <v>1</v>
      </c>
      <c r="K297" s="3" t="s">
        <v>546</v>
      </c>
      <c r="L297" s="3" t="s">
        <v>547</v>
      </c>
      <c r="M297" s="3" t="s">
        <v>550</v>
      </c>
      <c r="N297" s="3">
        <v>0.12</v>
      </c>
      <c r="O297" s="3">
        <v>350000</v>
      </c>
      <c r="P297" s="3">
        <v>90</v>
      </c>
      <c r="Q297" s="3">
        <v>12</v>
      </c>
      <c r="R297" s="3">
        <v>100</v>
      </c>
    </row>
    <row r="298" spans="1:18" x14ac:dyDescent="0.25">
      <c r="A298" s="3" t="s">
        <v>537</v>
      </c>
      <c r="B298" s="3" t="s">
        <v>162</v>
      </c>
      <c r="C298" s="3">
        <v>59</v>
      </c>
      <c r="D298" s="3" t="s">
        <v>45</v>
      </c>
      <c r="E298" s="3" t="s">
        <v>30</v>
      </c>
      <c r="F298" s="3">
        <v>3195.33</v>
      </c>
      <c r="G298" s="3">
        <v>2</v>
      </c>
      <c r="H298" s="3" t="s">
        <v>39</v>
      </c>
      <c r="I298" s="3">
        <v>7</v>
      </c>
      <c r="J298" s="3">
        <v>5</v>
      </c>
      <c r="K298" s="3" t="s">
        <v>546</v>
      </c>
      <c r="L298" s="3" t="s">
        <v>547</v>
      </c>
      <c r="M298" s="3" t="s">
        <v>39</v>
      </c>
      <c r="N298" s="3">
        <v>0.12</v>
      </c>
      <c r="O298" s="3">
        <v>350000</v>
      </c>
      <c r="P298" s="3">
        <v>50</v>
      </c>
      <c r="Q298" s="3">
        <v>12</v>
      </c>
      <c r="R298" s="3">
        <v>100</v>
      </c>
    </row>
    <row r="299" spans="1:18" x14ac:dyDescent="0.25">
      <c r="A299" s="3" t="s">
        <v>538</v>
      </c>
      <c r="B299" s="3" t="s">
        <v>143</v>
      </c>
      <c r="C299" s="3">
        <v>32</v>
      </c>
      <c r="D299" s="3" t="s">
        <v>45</v>
      </c>
      <c r="E299" s="3" t="s">
        <v>26</v>
      </c>
      <c r="F299" s="3">
        <v>1326.17</v>
      </c>
      <c r="G299" s="3">
        <v>2</v>
      </c>
      <c r="H299" s="3" t="s">
        <v>42</v>
      </c>
      <c r="I299" s="3">
        <v>6</v>
      </c>
      <c r="J299" s="3">
        <v>1</v>
      </c>
      <c r="K299" s="3" t="s">
        <v>546</v>
      </c>
      <c r="L299" s="3" t="s">
        <v>545</v>
      </c>
      <c r="M299" s="3" t="s">
        <v>550</v>
      </c>
      <c r="N299" s="3">
        <v>0.12</v>
      </c>
      <c r="O299" s="3">
        <v>240000</v>
      </c>
      <c r="P299" s="3">
        <v>90</v>
      </c>
      <c r="Q299" s="3">
        <v>14</v>
      </c>
      <c r="R299" s="3">
        <v>30</v>
      </c>
    </row>
    <row r="300" spans="1:18" x14ac:dyDescent="0.25">
      <c r="A300" s="3" t="s">
        <v>539</v>
      </c>
      <c r="B300" s="3" t="s">
        <v>540</v>
      </c>
      <c r="C300" s="3">
        <v>29</v>
      </c>
      <c r="D300" s="3" t="s">
        <v>20</v>
      </c>
      <c r="E300" s="3" t="s">
        <v>48</v>
      </c>
      <c r="F300" s="3">
        <v>669.22</v>
      </c>
      <c r="G300" s="3">
        <v>1</v>
      </c>
      <c r="H300" s="3" t="s">
        <v>22</v>
      </c>
      <c r="I300" s="3">
        <v>9</v>
      </c>
      <c r="J300" s="3">
        <v>5</v>
      </c>
      <c r="K300" s="3" t="s">
        <v>546</v>
      </c>
      <c r="L300" s="3" t="s">
        <v>551</v>
      </c>
      <c r="M300" s="3" t="s">
        <v>544</v>
      </c>
      <c r="N300" s="3">
        <v>0.05</v>
      </c>
      <c r="O300" s="3">
        <v>400000</v>
      </c>
      <c r="P300" s="3">
        <v>31</v>
      </c>
      <c r="Q300" s="3">
        <v>7</v>
      </c>
      <c r="R300" s="3">
        <v>40</v>
      </c>
    </row>
    <row r="301" spans="1:18" x14ac:dyDescent="0.25">
      <c r="A301" s="3" t="s">
        <v>541</v>
      </c>
      <c r="B301" s="3" t="s">
        <v>222</v>
      </c>
      <c r="C301" s="3">
        <v>44</v>
      </c>
      <c r="D301" s="3" t="s">
        <v>20</v>
      </c>
      <c r="E301" s="3" t="s">
        <v>26</v>
      </c>
      <c r="F301" s="3">
        <v>3674.04</v>
      </c>
      <c r="G301" s="3">
        <v>5</v>
      </c>
      <c r="H301" s="3" t="s">
        <v>31</v>
      </c>
      <c r="I301" s="3">
        <v>8</v>
      </c>
      <c r="J301" s="3">
        <v>4</v>
      </c>
      <c r="K301" s="3" t="s">
        <v>542</v>
      </c>
      <c r="L301" s="3" t="s">
        <v>545</v>
      </c>
      <c r="M301" s="3" t="s">
        <v>548</v>
      </c>
      <c r="N301" s="3">
        <v>0.12</v>
      </c>
      <c r="O301" s="3">
        <v>240000</v>
      </c>
      <c r="P301" s="3">
        <v>50</v>
      </c>
      <c r="Q301" s="3">
        <v>14</v>
      </c>
      <c r="R301" s="3">
        <v>30</v>
      </c>
    </row>
  </sheetData>
  <autoFilter ref="A1:R301" xr:uid="{B75D394D-C781-4A07-A09A-B1CFD12C6D8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EB313-580F-4747-A719-546996423821}">
  <dimension ref="A3:B10"/>
  <sheetViews>
    <sheetView topLeftCell="B1" workbookViewId="0">
      <selection activeCell="M13" sqref="M13"/>
    </sheetView>
  </sheetViews>
  <sheetFormatPr defaultRowHeight="15" x14ac:dyDescent="0.25"/>
  <cols>
    <col min="1" max="1" width="16.5703125" bestFit="1" customWidth="1"/>
    <col min="2" max="2" width="19.28515625" bestFit="1" customWidth="1"/>
  </cols>
  <sheetData>
    <row r="3" spans="1:2" x14ac:dyDescent="0.25">
      <c r="A3" s="8" t="s">
        <v>558</v>
      </c>
      <c r="B3" t="s">
        <v>560</v>
      </c>
    </row>
    <row r="4" spans="1:2" x14ac:dyDescent="0.25">
      <c r="A4" s="9" t="s">
        <v>26</v>
      </c>
      <c r="B4" s="10">
        <v>0.19604198844370568</v>
      </c>
    </row>
    <row r="5" spans="1:2" x14ac:dyDescent="0.25">
      <c r="A5" s="9" t="s">
        <v>30</v>
      </c>
      <c r="B5" s="10">
        <v>0.1879364243102028</v>
      </c>
    </row>
    <row r="6" spans="1:2" x14ac:dyDescent="0.25">
      <c r="A6" s="9" t="s">
        <v>48</v>
      </c>
      <c r="B6" s="10">
        <v>0.17969997511677455</v>
      </c>
    </row>
    <row r="7" spans="1:2" x14ac:dyDescent="0.25">
      <c r="A7" s="9" t="s">
        <v>51</v>
      </c>
      <c r="B7" s="10">
        <v>0.1724335301234613</v>
      </c>
    </row>
    <row r="8" spans="1:2" x14ac:dyDescent="0.25">
      <c r="A8" s="9" t="s">
        <v>35</v>
      </c>
      <c r="B8" s="10">
        <v>0.1386329346872533</v>
      </c>
    </row>
    <row r="9" spans="1:2" x14ac:dyDescent="0.25">
      <c r="A9" s="9" t="s">
        <v>21</v>
      </c>
      <c r="B9" s="10">
        <v>0.12525514731860243</v>
      </c>
    </row>
    <row r="10" spans="1:2" x14ac:dyDescent="0.25">
      <c r="A10" s="9" t="s">
        <v>559</v>
      </c>
      <c r="B10" s="1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65A69-9176-41E2-A10C-3E103C19C9E4}">
  <dimension ref="B18:C31"/>
  <sheetViews>
    <sheetView topLeftCell="A7" workbookViewId="0">
      <selection activeCell="E20" sqref="E20"/>
    </sheetView>
  </sheetViews>
  <sheetFormatPr defaultRowHeight="15" x14ac:dyDescent="0.25"/>
  <cols>
    <col min="1" max="2" width="13.140625" bestFit="1" customWidth="1"/>
    <col min="3" max="3" width="19.28515625" bestFit="1" customWidth="1"/>
  </cols>
  <sheetData>
    <row r="18" spans="2:3" x14ac:dyDescent="0.25">
      <c r="B18" s="8" t="s">
        <v>558</v>
      </c>
      <c r="C18" t="s">
        <v>560</v>
      </c>
    </row>
    <row r="19" spans="2:3" x14ac:dyDescent="0.25">
      <c r="B19" s="9" t="s">
        <v>566</v>
      </c>
      <c r="C19" s="19">
        <v>154787.84999999998</v>
      </c>
    </row>
    <row r="20" spans="2:3" x14ac:dyDescent="0.25">
      <c r="B20" s="9" t="s">
        <v>565</v>
      </c>
      <c r="C20" s="19">
        <v>128771.67000000003</v>
      </c>
    </row>
    <row r="21" spans="2:3" x14ac:dyDescent="0.25">
      <c r="B21" s="9" t="s">
        <v>569</v>
      </c>
      <c r="C21" s="19">
        <v>222931.26</v>
      </c>
    </row>
    <row r="22" spans="2:3" x14ac:dyDescent="0.25">
      <c r="B22" s="9" t="s">
        <v>562</v>
      </c>
      <c r="C22" s="19">
        <v>135142.31999999998</v>
      </c>
    </row>
    <row r="23" spans="2:3" x14ac:dyDescent="0.25">
      <c r="B23" s="9" t="s">
        <v>570</v>
      </c>
      <c r="C23" s="19">
        <v>174657.56</v>
      </c>
    </row>
    <row r="24" spans="2:3" x14ac:dyDescent="0.25">
      <c r="B24" s="9" t="s">
        <v>568</v>
      </c>
      <c r="C24" s="19">
        <v>175342.99</v>
      </c>
    </row>
    <row r="25" spans="2:3" x14ac:dyDescent="0.25">
      <c r="B25" s="9" t="s">
        <v>567</v>
      </c>
      <c r="C25" s="19">
        <v>258818.07999999996</v>
      </c>
    </row>
    <row r="26" spans="2:3" x14ac:dyDescent="0.25">
      <c r="B26" s="9" t="s">
        <v>563</v>
      </c>
      <c r="C26" s="19">
        <v>232884.49999999997</v>
      </c>
    </row>
    <row r="27" spans="2:3" x14ac:dyDescent="0.25">
      <c r="B27" s="9" t="s">
        <v>573</v>
      </c>
      <c r="C27" s="19">
        <v>245417.71999999991</v>
      </c>
    </row>
    <row r="28" spans="2:3" x14ac:dyDescent="0.25">
      <c r="B28" s="9" t="s">
        <v>572</v>
      </c>
      <c r="C28" s="19">
        <v>277007.34999999998</v>
      </c>
    </row>
    <row r="29" spans="2:3" x14ac:dyDescent="0.25">
      <c r="B29" s="9" t="s">
        <v>571</v>
      </c>
      <c r="C29" s="19">
        <v>117197.24999999997</v>
      </c>
    </row>
    <row r="30" spans="2:3" x14ac:dyDescent="0.25">
      <c r="B30" s="9" t="s">
        <v>564</v>
      </c>
      <c r="C30" s="19">
        <v>200454.07</v>
      </c>
    </row>
    <row r="31" spans="2:3" x14ac:dyDescent="0.25">
      <c r="B31" s="9" t="s">
        <v>559</v>
      </c>
      <c r="C31" s="19">
        <v>2323412.6199999996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A17F3-04CA-4C22-A8B8-993BDCE40562}">
  <dimension ref="D14:E21"/>
  <sheetViews>
    <sheetView workbookViewId="0">
      <selection activeCell="A3" sqref="A3:B11"/>
    </sheetView>
  </sheetViews>
  <sheetFormatPr defaultRowHeight="15" x14ac:dyDescent="0.25"/>
  <cols>
    <col min="1" max="1" width="13.140625" bestFit="1" customWidth="1"/>
    <col min="2" max="2" width="19.28515625" bestFit="1" customWidth="1"/>
    <col min="4" max="4" width="13.140625" bestFit="1" customWidth="1"/>
    <col min="5" max="5" width="19.28515625" bestFit="1" customWidth="1"/>
  </cols>
  <sheetData>
    <row r="14" spans="4:5" x14ac:dyDescent="0.25">
      <c r="D14" s="8" t="s">
        <v>558</v>
      </c>
      <c r="E14" t="s">
        <v>560</v>
      </c>
    </row>
    <row r="15" spans="4:5" x14ac:dyDescent="0.25">
      <c r="D15" s="9" t="s">
        <v>20</v>
      </c>
      <c r="E15" s="19">
        <v>464844.0199999999</v>
      </c>
    </row>
    <row r="16" spans="4:5" x14ac:dyDescent="0.25">
      <c r="D16" s="9" t="s">
        <v>54</v>
      </c>
      <c r="E16" s="19">
        <v>351332.57999999984</v>
      </c>
    </row>
    <row r="17" spans="4:5" x14ac:dyDescent="0.25">
      <c r="D17" s="9" t="s">
        <v>45</v>
      </c>
      <c r="E17" s="19">
        <v>399486.76000000007</v>
      </c>
    </row>
    <row r="18" spans="4:5" x14ac:dyDescent="0.25">
      <c r="D18" s="9" t="s">
        <v>25</v>
      </c>
      <c r="E18" s="19">
        <v>274755.36999999994</v>
      </c>
    </row>
    <row r="19" spans="4:5" x14ac:dyDescent="0.25">
      <c r="D19" s="9" t="s">
        <v>34</v>
      </c>
      <c r="E19" s="19">
        <v>430612.92000000027</v>
      </c>
    </row>
    <row r="20" spans="4:5" x14ac:dyDescent="0.25">
      <c r="D20" s="9" t="s">
        <v>29</v>
      </c>
      <c r="E20" s="19">
        <v>402380.9699999998</v>
      </c>
    </row>
    <row r="21" spans="4:5" x14ac:dyDescent="0.25">
      <c r="D21" s="9" t="s">
        <v>559</v>
      </c>
      <c r="E21" s="19">
        <v>2323412.6199999996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5A39A-5155-420B-ABEF-ABCE49D7692A}">
  <dimension ref="A3:B9"/>
  <sheetViews>
    <sheetView workbookViewId="0">
      <selection activeCell="L15" sqref="L15"/>
    </sheetView>
  </sheetViews>
  <sheetFormatPr defaultRowHeight="15" x14ac:dyDescent="0.25"/>
  <cols>
    <col min="1" max="1" width="15.85546875" bestFit="1" customWidth="1"/>
    <col min="2" max="2" width="19.28515625" bestFit="1" customWidth="1"/>
  </cols>
  <sheetData>
    <row r="3" spans="1:2" x14ac:dyDescent="0.25">
      <c r="A3" s="8" t="s">
        <v>558</v>
      </c>
      <c r="B3" t="s">
        <v>560</v>
      </c>
    </row>
    <row r="4" spans="1:2" x14ac:dyDescent="0.25">
      <c r="A4" s="9" t="s">
        <v>22</v>
      </c>
      <c r="B4" s="10">
        <v>0.2395398325761009</v>
      </c>
    </row>
    <row r="5" spans="1:2" x14ac:dyDescent="0.25">
      <c r="A5" s="9" t="s">
        <v>36</v>
      </c>
      <c r="B5" s="10">
        <v>0.20523332614075243</v>
      </c>
    </row>
    <row r="6" spans="1:2" x14ac:dyDescent="0.25">
      <c r="A6" s="9" t="s">
        <v>42</v>
      </c>
      <c r="B6" s="10">
        <v>0.14469515535299107</v>
      </c>
    </row>
    <row r="7" spans="1:2" x14ac:dyDescent="0.25">
      <c r="A7" s="9" t="s">
        <v>31</v>
      </c>
      <c r="B7" s="10">
        <v>0.20028917205416572</v>
      </c>
    </row>
    <row r="8" spans="1:2" x14ac:dyDescent="0.25">
      <c r="A8" s="9" t="s">
        <v>39</v>
      </c>
      <c r="B8" s="10">
        <v>0.21024251387598988</v>
      </c>
    </row>
    <row r="9" spans="1:2" x14ac:dyDescent="0.25">
      <c r="A9" s="9" t="s">
        <v>559</v>
      </c>
      <c r="B9" s="1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6A12-3AB6-41D3-A0B6-DFA0E7E83673}">
  <dimension ref="A3:B14"/>
  <sheetViews>
    <sheetView workbookViewId="0">
      <selection activeCell="B14" sqref="A3:B14"/>
    </sheetView>
  </sheetViews>
  <sheetFormatPr defaultRowHeight="15" x14ac:dyDescent="0.25"/>
  <cols>
    <col min="1" max="1" width="13.140625" bestFit="1" customWidth="1"/>
    <col min="2" max="2" width="26.7109375" bestFit="1" customWidth="1"/>
  </cols>
  <sheetData>
    <row r="3" spans="1:2" x14ac:dyDescent="0.25">
      <c r="A3" s="8" t="s">
        <v>558</v>
      </c>
      <c r="B3" t="s">
        <v>574</v>
      </c>
    </row>
    <row r="4" spans="1:2" x14ac:dyDescent="0.25">
      <c r="A4" s="9">
        <v>1</v>
      </c>
      <c r="B4" s="19">
        <v>3.3103448275862069</v>
      </c>
    </row>
    <row r="5" spans="1:2" x14ac:dyDescent="0.25">
      <c r="A5" s="9">
        <v>2</v>
      </c>
      <c r="B5" s="19">
        <v>2.7333333333333334</v>
      </c>
    </row>
    <row r="6" spans="1:2" x14ac:dyDescent="0.25">
      <c r="A6" s="9">
        <v>3</v>
      </c>
      <c r="B6" s="19">
        <v>2.9642857142857144</v>
      </c>
    </row>
    <row r="7" spans="1:2" x14ac:dyDescent="0.25">
      <c r="A7" s="9">
        <v>4</v>
      </c>
      <c r="B7" s="19">
        <v>2.8846153846153846</v>
      </c>
    </row>
    <row r="8" spans="1:2" x14ac:dyDescent="0.25">
      <c r="A8" s="9">
        <v>5</v>
      </c>
      <c r="B8" s="19">
        <v>2.48</v>
      </c>
    </row>
    <row r="9" spans="1:2" x14ac:dyDescent="0.25">
      <c r="A9" s="9">
        <v>6</v>
      </c>
      <c r="B9" s="19">
        <v>2.896551724137931</v>
      </c>
    </row>
    <row r="10" spans="1:2" x14ac:dyDescent="0.25">
      <c r="A10" s="9">
        <v>7</v>
      </c>
      <c r="B10" s="19">
        <v>2.6551724137931036</v>
      </c>
    </row>
    <row r="11" spans="1:2" x14ac:dyDescent="0.25">
      <c r="A11" s="9">
        <v>8</v>
      </c>
      <c r="B11" s="19">
        <v>2.6756756756756759</v>
      </c>
    </row>
    <row r="12" spans="1:2" x14ac:dyDescent="0.25">
      <c r="A12" s="9">
        <v>9</v>
      </c>
      <c r="B12" s="19">
        <v>2.59375</v>
      </c>
    </row>
    <row r="13" spans="1:2" x14ac:dyDescent="0.25">
      <c r="A13" s="9">
        <v>10</v>
      </c>
      <c r="B13" s="19">
        <v>2.7142857142857144</v>
      </c>
    </row>
    <row r="14" spans="1:2" x14ac:dyDescent="0.25">
      <c r="A14" s="9" t="s">
        <v>559</v>
      </c>
      <c r="B14" s="19">
        <v>2.7866666666666666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9E2D-0B5B-4300-B378-6C97486FA2E1}">
  <dimension ref="A3:B10"/>
  <sheetViews>
    <sheetView workbookViewId="0">
      <selection activeCell="A11" sqref="A11"/>
    </sheetView>
  </sheetViews>
  <sheetFormatPr defaultRowHeight="15" x14ac:dyDescent="0.25"/>
  <cols>
    <col min="1" max="1" width="16.5703125" bestFit="1" customWidth="1"/>
    <col min="2" max="2" width="15.7109375" bestFit="1" customWidth="1"/>
  </cols>
  <sheetData>
    <row r="3" spans="1:2" x14ac:dyDescent="0.25">
      <c r="A3" s="8" t="s">
        <v>558</v>
      </c>
      <c r="B3" t="s">
        <v>575</v>
      </c>
    </row>
    <row r="4" spans="1:2" x14ac:dyDescent="0.25">
      <c r="A4" s="9" t="s">
        <v>51</v>
      </c>
      <c r="B4" s="10">
        <v>0.15418261344997267</v>
      </c>
    </row>
    <row r="5" spans="1:2" x14ac:dyDescent="0.25">
      <c r="A5" s="9" t="s">
        <v>48</v>
      </c>
      <c r="B5" s="10">
        <v>8.9939857845817386E-2</v>
      </c>
    </row>
    <row r="6" spans="1:2" x14ac:dyDescent="0.25">
      <c r="A6" s="9" t="s">
        <v>30</v>
      </c>
      <c r="B6" s="10">
        <v>0.20338983050847459</v>
      </c>
    </row>
    <row r="7" spans="1:2" x14ac:dyDescent="0.25">
      <c r="A7" s="9" t="s">
        <v>35</v>
      </c>
      <c r="B7" s="10">
        <v>0.17632586112629853</v>
      </c>
    </row>
    <row r="8" spans="1:2" x14ac:dyDescent="0.25">
      <c r="A8" s="9" t="s">
        <v>21</v>
      </c>
      <c r="B8" s="10">
        <v>0.13504647348277748</v>
      </c>
    </row>
    <row r="9" spans="1:2" x14ac:dyDescent="0.25">
      <c r="A9" s="9" t="s">
        <v>26</v>
      </c>
      <c r="B9" s="10">
        <v>0.24111536358665939</v>
      </c>
    </row>
    <row r="10" spans="1:2" x14ac:dyDescent="0.25">
      <c r="A10" s="9" t="s">
        <v>559</v>
      </c>
      <c r="B10" s="10">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4E021-7D83-4DC8-A63F-36718FA932DB}">
  <dimension ref="A3:B6"/>
  <sheetViews>
    <sheetView workbookViewId="0">
      <selection activeCell="B7" sqref="B6:B7"/>
    </sheetView>
  </sheetViews>
  <sheetFormatPr defaultRowHeight="15" x14ac:dyDescent="0.25"/>
  <cols>
    <col min="1" max="1" width="13.140625" bestFit="1" customWidth="1"/>
    <col min="2" max="2" width="19.28515625" bestFit="1" customWidth="1"/>
  </cols>
  <sheetData>
    <row r="3" spans="1:2" x14ac:dyDescent="0.25">
      <c r="A3" s="8" t="s">
        <v>558</v>
      </c>
      <c r="B3" t="s">
        <v>560</v>
      </c>
    </row>
    <row r="4" spans="1:2" x14ac:dyDescent="0.25">
      <c r="A4" s="9" t="s">
        <v>542</v>
      </c>
      <c r="B4">
        <v>585832.46000000008</v>
      </c>
    </row>
    <row r="5" spans="1:2" x14ac:dyDescent="0.25">
      <c r="A5" s="9" t="s">
        <v>546</v>
      </c>
      <c r="B5">
        <v>1737580.1600000013</v>
      </c>
    </row>
    <row r="6" spans="1:2" x14ac:dyDescent="0.25">
      <c r="A6" s="9" t="s">
        <v>559</v>
      </c>
      <c r="B6">
        <v>2323412.6200000015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EA3A-DABE-497D-A73D-8D934837D9AA}">
  <dimension ref="A3:G7"/>
  <sheetViews>
    <sheetView topLeftCell="B1" zoomScale="115" zoomScaleNormal="115" workbookViewId="0">
      <selection activeCell="I2" sqref="I2"/>
    </sheetView>
  </sheetViews>
  <sheetFormatPr defaultRowHeight="15" x14ac:dyDescent="0.25"/>
  <cols>
    <col min="1" max="1" width="19.42578125" bestFit="1" customWidth="1"/>
    <col min="2" max="2" width="16.28515625" bestFit="1" customWidth="1"/>
    <col min="3" max="3" width="10.140625" bestFit="1" customWidth="1"/>
    <col min="4" max="5" width="11.140625" bestFit="1" customWidth="1"/>
    <col min="6" max="6" width="16.5703125" bestFit="1" customWidth="1"/>
    <col min="7" max="7" width="11.140625" bestFit="1" customWidth="1"/>
    <col min="8" max="8" width="11.28515625" bestFit="1" customWidth="1"/>
    <col min="9" max="9" width="19.28515625" bestFit="1" customWidth="1"/>
    <col min="10" max="10" width="25.140625" bestFit="1" customWidth="1"/>
    <col min="11" max="11" width="19.28515625" bestFit="1" customWidth="1"/>
    <col min="12" max="12" width="30.28515625" bestFit="1" customWidth="1"/>
    <col min="13" max="13" width="24.28515625" bestFit="1" customWidth="1"/>
    <col min="14" max="14" width="6.5703125" bestFit="1" customWidth="1"/>
    <col min="15" max="15" width="15.85546875" bestFit="1" customWidth="1"/>
    <col min="16" max="16" width="12.140625" bestFit="1" customWidth="1"/>
    <col min="17" max="17" width="6.28515625" bestFit="1" customWidth="1"/>
    <col min="18" max="18" width="8.42578125" bestFit="1" customWidth="1"/>
    <col min="19" max="19" width="10.5703125" bestFit="1" customWidth="1"/>
    <col min="20" max="20" width="16.5703125" bestFit="1" customWidth="1"/>
    <col min="21" max="21" width="6.5703125" bestFit="1" customWidth="1"/>
    <col min="22" max="22" width="15.28515625" bestFit="1" customWidth="1"/>
    <col min="23" max="23" width="13.5703125" bestFit="1" customWidth="1"/>
    <col min="24" max="24" width="6.28515625" bestFit="1" customWidth="1"/>
    <col min="25" max="25" width="8.42578125" bestFit="1" customWidth="1"/>
    <col min="26" max="26" width="10.5703125" bestFit="1" customWidth="1"/>
    <col min="27" max="27" width="16.5703125" bestFit="1" customWidth="1"/>
    <col min="28" max="28" width="6.5703125" bestFit="1" customWidth="1"/>
    <col min="29" max="29" width="16.7109375" bestFit="1" customWidth="1"/>
    <col min="30" max="30" width="7.140625" bestFit="1" customWidth="1"/>
    <col min="31" max="31" width="6.28515625" bestFit="1" customWidth="1"/>
    <col min="32" max="32" width="8.42578125" bestFit="1" customWidth="1"/>
    <col min="33" max="33" width="10.5703125" bestFit="1" customWidth="1"/>
    <col min="34" max="34" width="16.5703125" bestFit="1" customWidth="1"/>
    <col min="35" max="35" width="6.5703125" bestFit="1" customWidth="1"/>
    <col min="36" max="36" width="9" bestFit="1" customWidth="1"/>
    <col min="37" max="37" width="11.28515625" bestFit="1" customWidth="1"/>
  </cols>
  <sheetData>
    <row r="3" spans="1:7" x14ac:dyDescent="0.25">
      <c r="A3" s="8" t="s">
        <v>560</v>
      </c>
      <c r="B3" s="8" t="s">
        <v>579</v>
      </c>
    </row>
    <row r="4" spans="1:7" x14ac:dyDescent="0.25">
      <c r="A4" s="8" t="s">
        <v>558</v>
      </c>
      <c r="B4" t="s">
        <v>51</v>
      </c>
      <c r="C4" t="s">
        <v>48</v>
      </c>
      <c r="D4" t="s">
        <v>30</v>
      </c>
      <c r="E4" t="s">
        <v>35</v>
      </c>
      <c r="F4" t="s">
        <v>21</v>
      </c>
      <c r="G4" t="s">
        <v>26</v>
      </c>
    </row>
    <row r="5" spans="1:7" x14ac:dyDescent="0.25">
      <c r="A5" s="9" t="s">
        <v>576</v>
      </c>
      <c r="B5" s="19">
        <v>317827.82000000007</v>
      </c>
      <c r="C5" s="19">
        <v>309447.1999999999</v>
      </c>
      <c r="D5" s="19">
        <v>264837.16999999993</v>
      </c>
      <c r="E5" s="19">
        <v>232047.58000000005</v>
      </c>
      <c r="F5" s="19">
        <v>229194.72000000003</v>
      </c>
      <c r="G5" s="19">
        <v>360955.6399999999</v>
      </c>
    </row>
    <row r="6" spans="1:7" x14ac:dyDescent="0.25">
      <c r="A6" s="9" t="s">
        <v>577</v>
      </c>
      <c r="B6" s="19">
        <v>23413.780000000002</v>
      </c>
      <c r="C6" s="19">
        <v>86849.969999999987</v>
      </c>
      <c r="D6" s="19">
        <v>122392.43999999999</v>
      </c>
      <c r="E6" s="19">
        <v>54609.229999999996</v>
      </c>
      <c r="F6" s="19">
        <v>38782.639999999999</v>
      </c>
      <c r="G6" s="19">
        <v>58280.289999999994</v>
      </c>
    </row>
    <row r="7" spans="1:7" x14ac:dyDescent="0.25">
      <c r="A7" s="9" t="s">
        <v>578</v>
      </c>
      <c r="B7" s="19">
        <v>59392.639999999999</v>
      </c>
      <c r="C7" s="19">
        <v>21220.02</v>
      </c>
      <c r="D7" s="19">
        <v>49424.250000000007</v>
      </c>
      <c r="E7" s="19">
        <v>35444.700000000004</v>
      </c>
      <c r="F7" s="19">
        <v>23042.03</v>
      </c>
      <c r="G7" s="19">
        <v>36250.5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FA7BE-FCE2-4727-A777-746378EB7DDF}">
  <dimension ref="A1:W306"/>
  <sheetViews>
    <sheetView zoomScaleNormal="100" workbookViewId="0">
      <selection activeCell="V6" sqref="V6"/>
    </sheetView>
  </sheetViews>
  <sheetFormatPr defaultRowHeight="15" x14ac:dyDescent="0.25"/>
  <cols>
    <col min="1" max="1" width="9" bestFit="1" customWidth="1"/>
    <col min="2" max="2" width="11.28515625" bestFit="1" customWidth="1"/>
    <col min="3" max="3" width="11.28515625" customWidth="1"/>
    <col min="4" max="4" width="14.140625" bestFit="1" customWidth="1"/>
    <col min="5" max="5" width="14.140625" customWidth="1"/>
    <col min="6" max="6" width="10.5703125" bestFit="1" customWidth="1"/>
    <col min="7" max="7" width="16.85546875" bestFit="1" customWidth="1"/>
    <col min="8" max="8" width="13.42578125" bestFit="1" customWidth="1"/>
    <col min="9" max="9" width="8.7109375" bestFit="1" customWidth="1"/>
    <col min="10" max="10" width="12.42578125" bestFit="1" customWidth="1"/>
    <col min="11" max="11" width="17" bestFit="1" customWidth="1"/>
    <col min="12" max="12" width="19.28515625" bestFit="1" customWidth="1"/>
    <col min="13" max="13" width="16.28515625" bestFit="1" customWidth="1"/>
    <col min="14" max="14" width="16.42578125" bestFit="1" customWidth="1"/>
    <col min="15" max="15" width="4.5703125" bestFit="1" customWidth="1"/>
    <col min="16" max="16" width="5" bestFit="1" customWidth="1"/>
    <col min="17" max="17" width="5.7109375" bestFit="1" customWidth="1"/>
    <col min="18" max="18" width="22.5703125" bestFit="1" customWidth="1"/>
    <col min="19" max="19" width="12.42578125" bestFit="1" customWidth="1"/>
    <col min="21" max="21" width="8.5703125" bestFit="1" customWidth="1"/>
    <col min="22" max="22" width="18.85546875" bestFit="1" customWidth="1"/>
    <col min="23" max="23" width="14.28515625" bestFit="1" customWidth="1"/>
  </cols>
  <sheetData>
    <row r="1" spans="1:23" ht="15.75" x14ac:dyDescent="0.25">
      <c r="A1" s="4" t="s">
        <v>0</v>
      </c>
      <c r="B1" s="4" t="s">
        <v>1</v>
      </c>
      <c r="C1" s="4" t="s">
        <v>561</v>
      </c>
      <c r="D1" s="4" t="s">
        <v>2</v>
      </c>
      <c r="E1" s="6" t="s">
        <v>554</v>
      </c>
      <c r="F1" s="4" t="s">
        <v>3</v>
      </c>
      <c r="G1" s="4" t="s">
        <v>4</v>
      </c>
      <c r="H1" s="4" t="s">
        <v>5</v>
      </c>
      <c r="I1" s="4" t="s">
        <v>6</v>
      </c>
      <c r="J1" s="6" t="s">
        <v>553</v>
      </c>
      <c r="K1" s="4" t="s">
        <v>7</v>
      </c>
      <c r="L1" s="4" t="s">
        <v>8</v>
      </c>
      <c r="M1" s="4" t="s">
        <v>9</v>
      </c>
      <c r="N1" s="4" t="s">
        <v>10</v>
      </c>
      <c r="O1" s="4" t="s">
        <v>11</v>
      </c>
      <c r="P1" s="4" t="s">
        <v>12</v>
      </c>
      <c r="Q1" s="4" t="s">
        <v>13</v>
      </c>
      <c r="R1" s="4" t="s">
        <v>14</v>
      </c>
      <c r="S1" s="5" t="s">
        <v>15</v>
      </c>
      <c r="T1" s="5" t="s">
        <v>16</v>
      </c>
      <c r="U1" s="5" t="s">
        <v>17</v>
      </c>
    </row>
    <row r="2" spans="1:23" x14ac:dyDescent="0.25">
      <c r="A2" s="3" t="s">
        <v>18</v>
      </c>
      <c r="B2" s="3" t="s">
        <v>19</v>
      </c>
      <c r="C2" s="3" t="str">
        <f t="shared" ref="C2:C65" si="0">TEXT(B2,"mmm")</f>
        <v>Apr</v>
      </c>
      <c r="D2" s="3">
        <v>43</v>
      </c>
      <c r="E2" s="3" t="str">
        <f>IF(D2&gt;50,"senior",IF(D2&gt;=21,"adult","teenager"))</f>
        <v>adult</v>
      </c>
      <c r="F2" s="3" t="s">
        <v>20</v>
      </c>
      <c r="G2" s="3" t="s">
        <v>21</v>
      </c>
      <c r="H2" s="3">
        <v>2100</v>
      </c>
      <c r="I2" s="3">
        <v>4</v>
      </c>
      <c r="J2" s="3">
        <f>H2*I2</f>
        <v>8400</v>
      </c>
      <c r="K2" s="3" t="s">
        <v>22</v>
      </c>
      <c r="L2" s="3">
        <v>9</v>
      </c>
      <c r="M2" s="3">
        <v>4</v>
      </c>
      <c r="N2" s="3" t="s">
        <v>542</v>
      </c>
      <c r="O2" s="3" t="s">
        <v>543</v>
      </c>
      <c r="P2" s="3" t="s">
        <v>544</v>
      </c>
      <c r="Q2" s="3">
        <v>0.1</v>
      </c>
      <c r="R2" s="3">
        <v>560000</v>
      </c>
      <c r="S2" s="3">
        <v>31</v>
      </c>
      <c r="T2" s="3">
        <v>13</v>
      </c>
      <c r="U2" s="3">
        <v>60</v>
      </c>
      <c r="V2" t="s">
        <v>555</v>
      </c>
      <c r="W2" s="11">
        <f>SUM(J:J)</f>
        <v>2323412.6200000024</v>
      </c>
    </row>
    <row r="3" spans="1:23" x14ac:dyDescent="0.25">
      <c r="A3" s="3" t="s">
        <v>23</v>
      </c>
      <c r="B3" s="3" t="s">
        <v>24</v>
      </c>
      <c r="C3" s="3" t="str">
        <f t="shared" si="0"/>
        <v>Jan</v>
      </c>
      <c r="D3" s="3">
        <v>23</v>
      </c>
      <c r="E3" s="3" t="str">
        <f t="shared" ref="E3:E66" si="1">IF(D3&gt;50,"senior",IF(D3&gt;=21,"adult","teenager"))</f>
        <v>adult</v>
      </c>
      <c r="F3" s="3" t="s">
        <v>25</v>
      </c>
      <c r="G3" s="3" t="s">
        <v>26</v>
      </c>
      <c r="H3" s="3">
        <v>1088.42</v>
      </c>
      <c r="I3" s="3">
        <v>3</v>
      </c>
      <c r="J3" s="3">
        <f t="shared" ref="J3:J66" si="2">H3*I3</f>
        <v>3265.26</v>
      </c>
      <c r="K3" s="3" t="s">
        <v>22</v>
      </c>
      <c r="L3" s="3">
        <v>4</v>
      </c>
      <c r="M3" s="3">
        <v>5</v>
      </c>
      <c r="N3" s="3" t="s">
        <v>542</v>
      </c>
      <c r="O3" s="3" t="s">
        <v>545</v>
      </c>
      <c r="P3" s="3" t="s">
        <v>544</v>
      </c>
      <c r="Q3" s="3">
        <v>0.12</v>
      </c>
      <c r="R3" s="3">
        <v>240000</v>
      </c>
      <c r="S3" s="3">
        <v>31</v>
      </c>
      <c r="T3" s="3">
        <v>14</v>
      </c>
      <c r="U3" s="3">
        <v>30</v>
      </c>
      <c r="V3" t="s">
        <v>556</v>
      </c>
      <c r="W3">
        <f>COUNTA(A:A)-1</f>
        <v>300</v>
      </c>
    </row>
    <row r="4" spans="1:23" x14ac:dyDescent="0.25">
      <c r="A4" s="3" t="s">
        <v>27</v>
      </c>
      <c r="B4" s="3" t="s">
        <v>28</v>
      </c>
      <c r="C4" s="3" t="str">
        <f t="shared" si="0"/>
        <v>Aug</v>
      </c>
      <c r="D4" s="3">
        <v>57</v>
      </c>
      <c r="E4" s="3" t="str">
        <f t="shared" si="1"/>
        <v>senior</v>
      </c>
      <c r="F4" s="3" t="s">
        <v>29</v>
      </c>
      <c r="G4" s="3" t="s">
        <v>30</v>
      </c>
      <c r="H4" s="3">
        <v>4819.04</v>
      </c>
      <c r="I4" s="3">
        <v>2</v>
      </c>
      <c r="J4" s="3">
        <f t="shared" si="2"/>
        <v>9638.08</v>
      </c>
      <c r="K4" s="3" t="s">
        <v>31</v>
      </c>
      <c r="L4" s="3">
        <v>4</v>
      </c>
      <c r="M4" s="3">
        <v>5</v>
      </c>
      <c r="N4" s="3" t="s">
        <v>546</v>
      </c>
      <c r="O4" s="3" t="s">
        <v>547</v>
      </c>
      <c r="P4" s="3" t="s">
        <v>548</v>
      </c>
      <c r="Q4" s="3">
        <v>0.12</v>
      </c>
      <c r="R4" s="3">
        <v>350000</v>
      </c>
      <c r="S4" s="3">
        <v>50</v>
      </c>
      <c r="T4" s="3">
        <v>12</v>
      </c>
      <c r="U4" s="3">
        <v>100</v>
      </c>
      <c r="V4" t="s">
        <v>557</v>
      </c>
      <c r="W4" s="11">
        <f>W2/W3</f>
        <v>7744.7087333333411</v>
      </c>
    </row>
    <row r="5" spans="1:23" x14ac:dyDescent="0.25">
      <c r="A5" s="3" t="s">
        <v>32</v>
      </c>
      <c r="B5" s="3" t="s">
        <v>33</v>
      </c>
      <c r="C5" s="3" t="str">
        <f t="shared" si="0"/>
        <v>Apr</v>
      </c>
      <c r="D5" s="3">
        <v>46</v>
      </c>
      <c r="E5" s="3" t="str">
        <f t="shared" si="1"/>
        <v>adult</v>
      </c>
      <c r="F5" s="3" t="s">
        <v>34</v>
      </c>
      <c r="G5" s="3" t="s">
        <v>35</v>
      </c>
      <c r="H5" s="3">
        <v>4876.28</v>
      </c>
      <c r="I5" s="3">
        <v>5</v>
      </c>
      <c r="J5" s="3">
        <f t="shared" si="2"/>
        <v>24381.399999999998</v>
      </c>
      <c r="K5" s="3" t="s">
        <v>36</v>
      </c>
      <c r="L5" s="3">
        <v>5</v>
      </c>
      <c r="M5" s="3">
        <v>3</v>
      </c>
      <c r="N5" s="3" t="s">
        <v>546</v>
      </c>
      <c r="O5" s="3" t="s">
        <v>549</v>
      </c>
      <c r="P5" s="3" t="s">
        <v>11</v>
      </c>
      <c r="Q5" s="3">
        <v>0.18</v>
      </c>
      <c r="R5" s="3">
        <v>450000</v>
      </c>
      <c r="S5" s="3">
        <v>80</v>
      </c>
      <c r="T5" s="3">
        <v>15</v>
      </c>
      <c r="U5" s="3">
        <v>50</v>
      </c>
      <c r="V5" t="s">
        <v>581</v>
      </c>
      <c r="W5" s="12">
        <f>SUM(M:M)/COUNT(M:M)</f>
        <v>2.7866666666666666</v>
      </c>
    </row>
    <row r="6" spans="1:23" x14ac:dyDescent="0.25">
      <c r="A6" s="3" t="s">
        <v>37</v>
      </c>
      <c r="B6" s="3" t="s">
        <v>38</v>
      </c>
      <c r="C6" s="3" t="str">
        <f t="shared" si="0"/>
        <v>Mar</v>
      </c>
      <c r="D6" s="3">
        <v>24</v>
      </c>
      <c r="E6" s="3" t="str">
        <f t="shared" si="1"/>
        <v>adult</v>
      </c>
      <c r="F6" s="3" t="s">
        <v>34</v>
      </c>
      <c r="G6" s="3" t="s">
        <v>30</v>
      </c>
      <c r="H6" s="3">
        <v>642.13</v>
      </c>
      <c r="I6" s="3">
        <v>5</v>
      </c>
      <c r="J6" s="3">
        <f t="shared" si="2"/>
        <v>3210.65</v>
      </c>
      <c r="K6" s="3" t="s">
        <v>39</v>
      </c>
      <c r="L6" s="3">
        <v>10</v>
      </c>
      <c r="M6" s="3">
        <v>4</v>
      </c>
      <c r="N6" s="3" t="s">
        <v>542</v>
      </c>
      <c r="O6" s="3" t="s">
        <v>547</v>
      </c>
      <c r="P6" s="3" t="s">
        <v>39</v>
      </c>
      <c r="Q6" s="3">
        <v>0.12</v>
      </c>
      <c r="R6" s="3">
        <v>350000</v>
      </c>
      <c r="S6" s="3">
        <v>50</v>
      </c>
      <c r="T6" s="3">
        <v>12</v>
      </c>
      <c r="U6" s="3">
        <v>100</v>
      </c>
    </row>
    <row r="7" spans="1:23" x14ac:dyDescent="0.25">
      <c r="A7" s="3" t="s">
        <v>40</v>
      </c>
      <c r="B7" s="3" t="s">
        <v>41</v>
      </c>
      <c r="C7" s="3" t="str">
        <f t="shared" si="0"/>
        <v>Jan</v>
      </c>
      <c r="D7" s="3">
        <v>55</v>
      </c>
      <c r="E7" s="3" t="str">
        <f t="shared" si="1"/>
        <v>senior</v>
      </c>
      <c r="F7" s="3" t="s">
        <v>25</v>
      </c>
      <c r="G7" s="3" t="s">
        <v>21</v>
      </c>
      <c r="H7" s="3">
        <v>1806.15</v>
      </c>
      <c r="I7" s="3">
        <v>5</v>
      </c>
      <c r="J7" s="3">
        <f t="shared" si="2"/>
        <v>9030.75</v>
      </c>
      <c r="K7" s="3" t="s">
        <v>42</v>
      </c>
      <c r="L7" s="3">
        <v>10</v>
      </c>
      <c r="M7" s="3">
        <v>1</v>
      </c>
      <c r="N7" s="3" t="s">
        <v>546</v>
      </c>
      <c r="O7" s="3" t="s">
        <v>543</v>
      </c>
      <c r="P7" s="3" t="s">
        <v>550</v>
      </c>
      <c r="Q7" s="3">
        <v>0.1</v>
      </c>
      <c r="R7" s="3">
        <v>560000</v>
      </c>
      <c r="S7" s="3">
        <v>90</v>
      </c>
      <c r="T7" s="3">
        <v>13</v>
      </c>
      <c r="U7" s="3">
        <v>60</v>
      </c>
    </row>
    <row r="8" spans="1:23" x14ac:dyDescent="0.25">
      <c r="A8" s="3" t="s">
        <v>43</v>
      </c>
      <c r="B8" s="3" t="s">
        <v>44</v>
      </c>
      <c r="C8" s="3" t="str">
        <f t="shared" si="0"/>
        <v>Nov</v>
      </c>
      <c r="D8" s="3">
        <v>46</v>
      </c>
      <c r="E8" s="3" t="str">
        <f t="shared" si="1"/>
        <v>adult</v>
      </c>
      <c r="F8" s="3" t="s">
        <v>45</v>
      </c>
      <c r="G8" s="3" t="s">
        <v>30</v>
      </c>
      <c r="H8" s="3">
        <v>4321.12</v>
      </c>
      <c r="I8" s="3">
        <v>1</v>
      </c>
      <c r="J8" s="3">
        <f t="shared" si="2"/>
        <v>4321.12</v>
      </c>
      <c r="K8" s="3" t="s">
        <v>42</v>
      </c>
      <c r="L8" s="3">
        <v>9</v>
      </c>
      <c r="M8" s="3">
        <v>2</v>
      </c>
      <c r="N8" s="3" t="s">
        <v>546</v>
      </c>
      <c r="O8" s="3" t="s">
        <v>547</v>
      </c>
      <c r="P8" s="3" t="s">
        <v>550</v>
      </c>
      <c r="Q8" s="3">
        <v>0.12</v>
      </c>
      <c r="R8" s="3">
        <v>350000</v>
      </c>
      <c r="S8" s="3">
        <v>90</v>
      </c>
      <c r="T8" s="3">
        <v>12</v>
      </c>
      <c r="U8" s="3">
        <v>100</v>
      </c>
    </row>
    <row r="9" spans="1:23" x14ac:dyDescent="0.25">
      <c r="A9" s="3" t="s">
        <v>46</v>
      </c>
      <c r="B9" s="3" t="s">
        <v>47</v>
      </c>
      <c r="C9" s="3" t="str">
        <f t="shared" si="0"/>
        <v>Jul</v>
      </c>
      <c r="D9" s="3">
        <v>55</v>
      </c>
      <c r="E9" s="3" t="str">
        <f t="shared" si="1"/>
        <v>senior</v>
      </c>
      <c r="F9" s="3" t="s">
        <v>45</v>
      </c>
      <c r="G9" s="3" t="s">
        <v>48</v>
      </c>
      <c r="H9" s="3">
        <v>2454.96</v>
      </c>
      <c r="I9" s="3">
        <v>5</v>
      </c>
      <c r="J9" s="3">
        <f t="shared" si="2"/>
        <v>12274.8</v>
      </c>
      <c r="K9" s="3" t="s">
        <v>39</v>
      </c>
      <c r="L9" s="3">
        <v>9</v>
      </c>
      <c r="M9" s="3">
        <v>4</v>
      </c>
      <c r="N9" s="3" t="s">
        <v>542</v>
      </c>
      <c r="O9" s="3" t="s">
        <v>551</v>
      </c>
      <c r="P9" s="3" t="s">
        <v>39</v>
      </c>
      <c r="Q9" s="3">
        <v>0.05</v>
      </c>
      <c r="R9" s="3">
        <v>400000</v>
      </c>
      <c r="S9" s="3">
        <v>50</v>
      </c>
      <c r="T9" s="3">
        <v>7</v>
      </c>
      <c r="U9" s="3">
        <v>40</v>
      </c>
    </row>
    <row r="10" spans="1:23" x14ac:dyDescent="0.25">
      <c r="A10" s="3" t="s">
        <v>49</v>
      </c>
      <c r="B10" s="3" t="s">
        <v>50</v>
      </c>
      <c r="C10" s="3" t="str">
        <f t="shared" si="0"/>
        <v>Jun</v>
      </c>
      <c r="D10" s="3">
        <v>36</v>
      </c>
      <c r="E10" s="3" t="str">
        <f t="shared" si="1"/>
        <v>adult</v>
      </c>
      <c r="F10" s="3" t="s">
        <v>20</v>
      </c>
      <c r="G10" s="3" t="s">
        <v>51</v>
      </c>
      <c r="H10" s="3">
        <v>2270.61</v>
      </c>
      <c r="I10" s="3">
        <v>3</v>
      </c>
      <c r="J10" s="3">
        <f t="shared" si="2"/>
        <v>6811.83</v>
      </c>
      <c r="K10" s="3" t="s">
        <v>42</v>
      </c>
      <c r="L10" s="3">
        <v>8</v>
      </c>
      <c r="M10" s="3">
        <v>3</v>
      </c>
      <c r="N10" s="3" t="s">
        <v>546</v>
      </c>
      <c r="O10" s="3" t="s">
        <v>552</v>
      </c>
      <c r="P10" s="3" t="s">
        <v>550</v>
      </c>
      <c r="Q10" s="3">
        <v>0.14000000000000001</v>
      </c>
      <c r="R10" s="3">
        <v>300000</v>
      </c>
      <c r="S10" s="3">
        <v>90</v>
      </c>
      <c r="T10" s="3">
        <v>12</v>
      </c>
      <c r="U10" s="3">
        <v>70</v>
      </c>
    </row>
    <row r="11" spans="1:23" x14ac:dyDescent="0.25">
      <c r="A11" s="3" t="s">
        <v>52</v>
      </c>
      <c r="B11" s="3" t="s">
        <v>53</v>
      </c>
      <c r="C11" s="3" t="str">
        <f t="shared" si="0"/>
        <v>Jan</v>
      </c>
      <c r="D11" s="3">
        <v>30</v>
      </c>
      <c r="E11" s="3" t="str">
        <f t="shared" si="1"/>
        <v>adult</v>
      </c>
      <c r="F11" s="3" t="s">
        <v>54</v>
      </c>
      <c r="G11" s="3" t="s">
        <v>30</v>
      </c>
      <c r="H11" s="3">
        <v>3775.38</v>
      </c>
      <c r="I11" s="3">
        <v>3</v>
      </c>
      <c r="J11" s="3">
        <f t="shared" si="2"/>
        <v>11326.14</v>
      </c>
      <c r="K11" s="3" t="s">
        <v>22</v>
      </c>
      <c r="L11" s="3">
        <v>2</v>
      </c>
      <c r="M11" s="3">
        <v>5</v>
      </c>
      <c r="N11" s="3" t="s">
        <v>542</v>
      </c>
      <c r="O11" s="3" t="s">
        <v>547</v>
      </c>
      <c r="P11" s="3" t="s">
        <v>544</v>
      </c>
      <c r="Q11" s="3">
        <v>0.12</v>
      </c>
      <c r="R11" s="3">
        <v>350000</v>
      </c>
      <c r="S11" s="3">
        <v>31</v>
      </c>
      <c r="T11" s="3">
        <v>12</v>
      </c>
      <c r="U11" s="3">
        <v>100</v>
      </c>
    </row>
    <row r="12" spans="1:23" x14ac:dyDescent="0.25">
      <c r="A12" s="3" t="s">
        <v>55</v>
      </c>
      <c r="B12" s="3" t="s">
        <v>56</v>
      </c>
      <c r="C12" s="3" t="str">
        <f t="shared" si="0"/>
        <v>Mar</v>
      </c>
      <c r="D12" s="3">
        <v>23</v>
      </c>
      <c r="E12" s="3" t="str">
        <f t="shared" si="1"/>
        <v>adult</v>
      </c>
      <c r="F12" s="3" t="s">
        <v>54</v>
      </c>
      <c r="G12" s="3" t="s">
        <v>30</v>
      </c>
      <c r="H12" s="3">
        <v>4116.28</v>
      </c>
      <c r="I12" s="3">
        <v>4</v>
      </c>
      <c r="J12" s="3">
        <f t="shared" si="2"/>
        <v>16465.12</v>
      </c>
      <c r="K12" s="3" t="s">
        <v>31</v>
      </c>
      <c r="L12" s="3">
        <v>2</v>
      </c>
      <c r="M12" s="3">
        <v>4</v>
      </c>
      <c r="N12" s="3" t="s">
        <v>542</v>
      </c>
      <c r="O12" s="3" t="s">
        <v>547</v>
      </c>
      <c r="P12" s="3" t="s">
        <v>548</v>
      </c>
      <c r="Q12" s="3">
        <v>0.12</v>
      </c>
      <c r="R12" s="3">
        <v>350000</v>
      </c>
      <c r="S12" s="3">
        <v>50</v>
      </c>
      <c r="T12" s="3">
        <v>12</v>
      </c>
      <c r="U12" s="3">
        <v>100</v>
      </c>
    </row>
    <row r="13" spans="1:23" x14ac:dyDescent="0.25">
      <c r="A13" s="3" t="s">
        <v>57</v>
      </c>
      <c r="B13" s="3" t="s">
        <v>58</v>
      </c>
      <c r="C13" s="3" t="str">
        <f t="shared" si="0"/>
        <v>Jul</v>
      </c>
      <c r="D13" s="3">
        <v>44</v>
      </c>
      <c r="E13" s="3" t="str">
        <f t="shared" si="1"/>
        <v>adult</v>
      </c>
      <c r="F13" s="3" t="s">
        <v>29</v>
      </c>
      <c r="G13" s="3" t="s">
        <v>21</v>
      </c>
      <c r="H13" s="3">
        <v>3978.48</v>
      </c>
      <c r="I13" s="3">
        <v>5</v>
      </c>
      <c r="J13" s="3">
        <f t="shared" si="2"/>
        <v>19892.400000000001</v>
      </c>
      <c r="K13" s="3" t="s">
        <v>36</v>
      </c>
      <c r="L13" s="3">
        <v>3</v>
      </c>
      <c r="M13" s="3">
        <v>3</v>
      </c>
      <c r="N13" s="3" t="s">
        <v>546</v>
      </c>
      <c r="O13" s="3" t="s">
        <v>543</v>
      </c>
      <c r="P13" s="3" t="s">
        <v>11</v>
      </c>
      <c r="Q13" s="3">
        <v>0.1</v>
      </c>
      <c r="R13" s="3">
        <v>560000</v>
      </c>
      <c r="S13" s="3">
        <v>80</v>
      </c>
      <c r="T13" s="3">
        <v>13</v>
      </c>
      <c r="U13" s="3">
        <v>60</v>
      </c>
    </row>
    <row r="14" spans="1:23" x14ac:dyDescent="0.25">
      <c r="A14" s="3" t="s">
        <v>59</v>
      </c>
      <c r="B14" s="3" t="s">
        <v>60</v>
      </c>
      <c r="C14" s="3" t="str">
        <f t="shared" si="0"/>
        <v>Mar</v>
      </c>
      <c r="D14" s="3">
        <v>33</v>
      </c>
      <c r="E14" s="3" t="str">
        <f t="shared" si="1"/>
        <v>adult</v>
      </c>
      <c r="F14" s="3" t="s">
        <v>29</v>
      </c>
      <c r="G14" s="3" t="s">
        <v>26</v>
      </c>
      <c r="H14" s="3">
        <v>4531.84</v>
      </c>
      <c r="I14" s="3">
        <v>5</v>
      </c>
      <c r="J14" s="3">
        <f t="shared" si="2"/>
        <v>22659.200000000001</v>
      </c>
      <c r="K14" s="3" t="s">
        <v>42</v>
      </c>
      <c r="L14" s="3">
        <v>9</v>
      </c>
      <c r="M14" s="3">
        <v>2</v>
      </c>
      <c r="N14" s="3" t="s">
        <v>546</v>
      </c>
      <c r="O14" s="3" t="s">
        <v>545</v>
      </c>
      <c r="P14" s="3" t="s">
        <v>550</v>
      </c>
      <c r="Q14" s="3">
        <v>0.12</v>
      </c>
      <c r="R14" s="3">
        <v>240000</v>
      </c>
      <c r="S14" s="3">
        <v>90</v>
      </c>
      <c r="T14" s="3">
        <v>14</v>
      </c>
      <c r="U14" s="3">
        <v>30</v>
      </c>
    </row>
    <row r="15" spans="1:23" x14ac:dyDescent="0.25">
      <c r="A15" s="3" t="s">
        <v>61</v>
      </c>
      <c r="B15" s="3" t="s">
        <v>62</v>
      </c>
      <c r="C15" s="3" t="str">
        <f t="shared" si="0"/>
        <v>Aug</v>
      </c>
      <c r="D15" s="3">
        <v>50</v>
      </c>
      <c r="E15" s="3" t="str">
        <f t="shared" si="1"/>
        <v>adult</v>
      </c>
      <c r="F15" s="3" t="s">
        <v>20</v>
      </c>
      <c r="G15" s="3" t="s">
        <v>30</v>
      </c>
      <c r="H15" s="3">
        <v>3038.19</v>
      </c>
      <c r="I15" s="3">
        <v>1</v>
      </c>
      <c r="J15" s="3">
        <f t="shared" si="2"/>
        <v>3038.19</v>
      </c>
      <c r="K15" s="3" t="s">
        <v>42</v>
      </c>
      <c r="L15" s="3">
        <v>4</v>
      </c>
      <c r="M15" s="3">
        <v>4</v>
      </c>
      <c r="N15" s="3" t="s">
        <v>546</v>
      </c>
      <c r="O15" s="3" t="s">
        <v>547</v>
      </c>
      <c r="P15" s="3" t="s">
        <v>550</v>
      </c>
      <c r="Q15" s="3">
        <v>0.12</v>
      </c>
      <c r="R15" s="3">
        <v>350000</v>
      </c>
      <c r="S15" s="3">
        <v>90</v>
      </c>
      <c r="T15" s="3">
        <v>12</v>
      </c>
      <c r="U15" s="3">
        <v>100</v>
      </c>
    </row>
    <row r="16" spans="1:23" x14ac:dyDescent="0.25">
      <c r="A16" s="3" t="s">
        <v>63</v>
      </c>
      <c r="B16" s="3" t="s">
        <v>64</v>
      </c>
      <c r="C16" s="3" t="str">
        <f t="shared" si="0"/>
        <v>Apr</v>
      </c>
      <c r="D16" s="3">
        <v>19</v>
      </c>
      <c r="E16" s="3" t="str">
        <f t="shared" si="1"/>
        <v>teenager</v>
      </c>
      <c r="F16" s="3" t="s">
        <v>45</v>
      </c>
      <c r="G16" s="3" t="s">
        <v>35</v>
      </c>
      <c r="H16" s="3">
        <v>2182.13</v>
      </c>
      <c r="I16" s="3">
        <v>5</v>
      </c>
      <c r="J16" s="3">
        <f t="shared" si="2"/>
        <v>10910.650000000001</v>
      </c>
      <c r="K16" s="3" t="s">
        <v>22</v>
      </c>
      <c r="L16" s="3">
        <v>10</v>
      </c>
      <c r="M16" s="3">
        <v>1</v>
      </c>
      <c r="N16" s="3" t="s">
        <v>546</v>
      </c>
      <c r="O16" s="3" t="s">
        <v>549</v>
      </c>
      <c r="P16" s="3" t="s">
        <v>544</v>
      </c>
      <c r="Q16" s="3">
        <v>0.18</v>
      </c>
      <c r="R16" s="3">
        <v>450000</v>
      </c>
      <c r="S16" s="3">
        <v>31</v>
      </c>
      <c r="T16" s="3">
        <v>15</v>
      </c>
      <c r="U16" s="3">
        <v>50</v>
      </c>
    </row>
    <row r="17" spans="1:21" x14ac:dyDescent="0.25">
      <c r="A17" s="3" t="s">
        <v>65</v>
      </c>
      <c r="B17" s="3" t="s">
        <v>66</v>
      </c>
      <c r="C17" s="3" t="str">
        <f t="shared" si="0"/>
        <v>May</v>
      </c>
      <c r="D17" s="3">
        <v>49</v>
      </c>
      <c r="E17" s="3" t="str">
        <f t="shared" si="1"/>
        <v>adult</v>
      </c>
      <c r="F17" s="3" t="s">
        <v>20</v>
      </c>
      <c r="G17" s="3" t="s">
        <v>26</v>
      </c>
      <c r="H17" s="3">
        <v>1078.4100000000001</v>
      </c>
      <c r="I17" s="3">
        <v>5</v>
      </c>
      <c r="J17" s="3">
        <f t="shared" si="2"/>
        <v>5392.05</v>
      </c>
      <c r="K17" s="3" t="s">
        <v>39</v>
      </c>
      <c r="L17" s="3">
        <v>10</v>
      </c>
      <c r="M17" s="3">
        <v>3</v>
      </c>
      <c r="N17" s="3" t="s">
        <v>546</v>
      </c>
      <c r="O17" s="3" t="s">
        <v>545</v>
      </c>
      <c r="P17" s="3" t="s">
        <v>39</v>
      </c>
      <c r="Q17" s="3">
        <v>0.12</v>
      </c>
      <c r="R17" s="3">
        <v>240000</v>
      </c>
      <c r="S17" s="3">
        <v>50</v>
      </c>
      <c r="T17" s="3">
        <v>14</v>
      </c>
      <c r="U17" s="3">
        <v>30</v>
      </c>
    </row>
    <row r="18" spans="1:21" x14ac:dyDescent="0.25">
      <c r="A18" s="3" t="s">
        <v>67</v>
      </c>
      <c r="B18" s="3" t="s">
        <v>68</v>
      </c>
      <c r="C18" s="3" t="str">
        <f t="shared" si="0"/>
        <v>Apr</v>
      </c>
      <c r="D18" s="3">
        <v>52</v>
      </c>
      <c r="E18" s="3" t="str">
        <f t="shared" si="1"/>
        <v>senior</v>
      </c>
      <c r="F18" s="3" t="s">
        <v>45</v>
      </c>
      <c r="G18" s="3" t="s">
        <v>35</v>
      </c>
      <c r="H18" s="3">
        <v>1613.93</v>
      </c>
      <c r="I18" s="3">
        <v>1</v>
      </c>
      <c r="J18" s="3">
        <f t="shared" si="2"/>
        <v>1613.93</v>
      </c>
      <c r="K18" s="3" t="s">
        <v>39</v>
      </c>
      <c r="L18" s="3">
        <v>10</v>
      </c>
      <c r="M18" s="3">
        <v>3</v>
      </c>
      <c r="N18" s="3" t="s">
        <v>546</v>
      </c>
      <c r="O18" s="3" t="s">
        <v>549</v>
      </c>
      <c r="P18" s="3" t="s">
        <v>39</v>
      </c>
      <c r="Q18" s="3">
        <v>0.18</v>
      </c>
      <c r="R18" s="3">
        <v>450000</v>
      </c>
      <c r="S18" s="3">
        <v>50</v>
      </c>
      <c r="T18" s="3">
        <v>15</v>
      </c>
      <c r="U18" s="3">
        <v>50</v>
      </c>
    </row>
    <row r="19" spans="1:21" x14ac:dyDescent="0.25">
      <c r="A19" s="3" t="s">
        <v>69</v>
      </c>
      <c r="B19" s="3" t="s">
        <v>70</v>
      </c>
      <c r="C19" s="3" t="str">
        <f t="shared" si="0"/>
        <v>Mar</v>
      </c>
      <c r="D19" s="3">
        <v>37</v>
      </c>
      <c r="E19" s="3" t="str">
        <f t="shared" si="1"/>
        <v>adult</v>
      </c>
      <c r="F19" s="3" t="s">
        <v>20</v>
      </c>
      <c r="G19" s="3" t="s">
        <v>51</v>
      </c>
      <c r="H19" s="3">
        <v>2424.6</v>
      </c>
      <c r="I19" s="3">
        <v>4</v>
      </c>
      <c r="J19" s="3">
        <f t="shared" si="2"/>
        <v>9698.4</v>
      </c>
      <c r="K19" s="3" t="s">
        <v>22</v>
      </c>
      <c r="L19" s="3">
        <v>9</v>
      </c>
      <c r="M19" s="3">
        <v>4</v>
      </c>
      <c r="N19" s="3" t="s">
        <v>542</v>
      </c>
      <c r="O19" s="3" t="s">
        <v>552</v>
      </c>
      <c r="P19" s="3" t="s">
        <v>544</v>
      </c>
      <c r="Q19" s="3">
        <v>0.14000000000000001</v>
      </c>
      <c r="R19" s="3">
        <v>300000</v>
      </c>
      <c r="S19" s="3">
        <v>31</v>
      </c>
      <c r="T19" s="3">
        <v>12</v>
      </c>
      <c r="U19" s="3">
        <v>70</v>
      </c>
    </row>
    <row r="20" spans="1:21" x14ac:dyDescent="0.25">
      <c r="A20" s="3" t="s">
        <v>71</v>
      </c>
      <c r="B20" s="3" t="s">
        <v>72</v>
      </c>
      <c r="C20" s="3" t="str">
        <f t="shared" si="0"/>
        <v>Oct</v>
      </c>
      <c r="D20" s="3">
        <v>53</v>
      </c>
      <c r="E20" s="3" t="str">
        <f t="shared" si="1"/>
        <v>senior</v>
      </c>
      <c r="F20" s="3" t="s">
        <v>54</v>
      </c>
      <c r="G20" s="3" t="s">
        <v>26</v>
      </c>
      <c r="H20" s="3">
        <v>577.95000000000005</v>
      </c>
      <c r="I20" s="3">
        <v>4</v>
      </c>
      <c r="J20" s="3">
        <f t="shared" si="2"/>
        <v>2311.8000000000002</v>
      </c>
      <c r="K20" s="3" t="s">
        <v>31</v>
      </c>
      <c r="L20" s="3">
        <v>1</v>
      </c>
      <c r="M20" s="3">
        <v>3</v>
      </c>
      <c r="N20" s="3" t="s">
        <v>546</v>
      </c>
      <c r="O20" s="3" t="s">
        <v>545</v>
      </c>
      <c r="P20" s="3" t="s">
        <v>548</v>
      </c>
      <c r="Q20" s="3">
        <v>0.12</v>
      </c>
      <c r="R20" s="3">
        <v>240000</v>
      </c>
      <c r="S20" s="3">
        <v>50</v>
      </c>
      <c r="T20" s="3">
        <v>14</v>
      </c>
      <c r="U20" s="3">
        <v>30</v>
      </c>
    </row>
    <row r="21" spans="1:21" x14ac:dyDescent="0.25">
      <c r="A21" s="3" t="s">
        <v>73</v>
      </c>
      <c r="B21" s="3" t="s">
        <v>74</v>
      </c>
      <c r="C21" s="3" t="str">
        <f t="shared" si="0"/>
        <v>Feb</v>
      </c>
      <c r="D21" s="3">
        <v>26</v>
      </c>
      <c r="E21" s="3" t="str">
        <f t="shared" si="1"/>
        <v>adult</v>
      </c>
      <c r="F21" s="3" t="s">
        <v>34</v>
      </c>
      <c r="G21" s="3" t="s">
        <v>51</v>
      </c>
      <c r="H21" s="3">
        <v>4279.2</v>
      </c>
      <c r="I21" s="3">
        <v>5</v>
      </c>
      <c r="J21" s="3">
        <f t="shared" si="2"/>
        <v>21396</v>
      </c>
      <c r="K21" s="3" t="s">
        <v>36</v>
      </c>
      <c r="L21" s="3">
        <v>6</v>
      </c>
      <c r="M21" s="3">
        <v>3</v>
      </c>
      <c r="N21" s="3" t="s">
        <v>546</v>
      </c>
      <c r="O21" s="3" t="s">
        <v>552</v>
      </c>
      <c r="P21" s="3" t="s">
        <v>11</v>
      </c>
      <c r="Q21" s="3">
        <v>0.14000000000000001</v>
      </c>
      <c r="R21" s="3">
        <v>300000</v>
      </c>
      <c r="S21" s="3">
        <v>80</v>
      </c>
      <c r="T21" s="3">
        <v>12</v>
      </c>
      <c r="U21" s="3">
        <v>70</v>
      </c>
    </row>
    <row r="22" spans="1:21" x14ac:dyDescent="0.25">
      <c r="A22" s="3" t="s">
        <v>75</v>
      </c>
      <c r="B22" s="3" t="s">
        <v>76</v>
      </c>
      <c r="C22" s="3" t="str">
        <f t="shared" si="0"/>
        <v>Aug</v>
      </c>
      <c r="D22" s="3">
        <v>41</v>
      </c>
      <c r="E22" s="3" t="str">
        <f t="shared" si="1"/>
        <v>adult</v>
      </c>
      <c r="F22" s="3" t="s">
        <v>45</v>
      </c>
      <c r="G22" s="3" t="s">
        <v>21</v>
      </c>
      <c r="H22" s="3">
        <v>2028.05</v>
      </c>
      <c r="I22" s="3">
        <v>3</v>
      </c>
      <c r="J22" s="3">
        <f t="shared" si="2"/>
        <v>6084.15</v>
      </c>
      <c r="K22" s="3" t="s">
        <v>39</v>
      </c>
      <c r="L22" s="3">
        <v>8</v>
      </c>
      <c r="M22" s="3">
        <v>3</v>
      </c>
      <c r="N22" s="3" t="s">
        <v>546</v>
      </c>
      <c r="O22" s="3" t="s">
        <v>543</v>
      </c>
      <c r="P22" s="3" t="s">
        <v>39</v>
      </c>
      <c r="Q22" s="3">
        <v>0.1</v>
      </c>
      <c r="R22" s="3">
        <v>560000</v>
      </c>
      <c r="S22" s="3">
        <v>50</v>
      </c>
      <c r="T22" s="3">
        <v>13</v>
      </c>
      <c r="U22" s="3">
        <v>60</v>
      </c>
    </row>
    <row r="23" spans="1:21" x14ac:dyDescent="0.25">
      <c r="A23" s="3" t="s">
        <v>77</v>
      </c>
      <c r="B23" s="3" t="s">
        <v>78</v>
      </c>
      <c r="C23" s="3" t="str">
        <f t="shared" si="0"/>
        <v>Mar</v>
      </c>
      <c r="D23" s="3">
        <v>36</v>
      </c>
      <c r="E23" s="3" t="str">
        <f t="shared" si="1"/>
        <v>adult</v>
      </c>
      <c r="F23" s="3" t="s">
        <v>45</v>
      </c>
      <c r="G23" s="3" t="s">
        <v>35</v>
      </c>
      <c r="H23" s="3">
        <v>393.3</v>
      </c>
      <c r="I23" s="3">
        <v>1</v>
      </c>
      <c r="J23" s="3">
        <f t="shared" si="2"/>
        <v>393.3</v>
      </c>
      <c r="K23" s="3" t="s">
        <v>39</v>
      </c>
      <c r="L23" s="3">
        <v>6</v>
      </c>
      <c r="M23" s="3">
        <v>5</v>
      </c>
      <c r="N23" s="3" t="s">
        <v>546</v>
      </c>
      <c r="O23" s="3" t="s">
        <v>549</v>
      </c>
      <c r="P23" s="3" t="s">
        <v>39</v>
      </c>
      <c r="Q23" s="3">
        <v>0.18</v>
      </c>
      <c r="R23" s="3">
        <v>450000</v>
      </c>
      <c r="S23" s="3">
        <v>50</v>
      </c>
      <c r="T23" s="3">
        <v>15</v>
      </c>
      <c r="U23" s="3">
        <v>50</v>
      </c>
    </row>
    <row r="24" spans="1:21" x14ac:dyDescent="0.25">
      <c r="A24" s="3" t="s">
        <v>79</v>
      </c>
      <c r="B24" s="3" t="s">
        <v>80</v>
      </c>
      <c r="C24" s="3" t="str">
        <f t="shared" si="0"/>
        <v>Sep</v>
      </c>
      <c r="D24" s="3">
        <v>29</v>
      </c>
      <c r="E24" s="3" t="str">
        <f t="shared" si="1"/>
        <v>adult</v>
      </c>
      <c r="F24" s="3" t="s">
        <v>34</v>
      </c>
      <c r="G24" s="3" t="s">
        <v>21</v>
      </c>
      <c r="H24" s="3">
        <v>4962.08</v>
      </c>
      <c r="I24" s="3">
        <v>4</v>
      </c>
      <c r="J24" s="3">
        <f t="shared" si="2"/>
        <v>19848.32</v>
      </c>
      <c r="K24" s="3" t="s">
        <v>39</v>
      </c>
      <c r="L24" s="3">
        <v>7</v>
      </c>
      <c r="M24" s="3">
        <v>3</v>
      </c>
      <c r="N24" s="3" t="s">
        <v>546</v>
      </c>
      <c r="O24" s="3" t="s">
        <v>543</v>
      </c>
      <c r="P24" s="3" t="s">
        <v>39</v>
      </c>
      <c r="Q24" s="3">
        <v>0.1</v>
      </c>
      <c r="R24" s="3">
        <v>560000</v>
      </c>
      <c r="S24" s="3">
        <v>50</v>
      </c>
      <c r="T24" s="3">
        <v>13</v>
      </c>
      <c r="U24" s="3">
        <v>60</v>
      </c>
    </row>
    <row r="25" spans="1:21" x14ac:dyDescent="0.25">
      <c r="A25" s="3" t="s">
        <v>81</v>
      </c>
      <c r="B25" s="3" t="s">
        <v>82</v>
      </c>
      <c r="C25" s="3" t="str">
        <f t="shared" si="0"/>
        <v>Jul</v>
      </c>
      <c r="D25" s="3">
        <v>35</v>
      </c>
      <c r="E25" s="3" t="str">
        <f t="shared" si="1"/>
        <v>adult</v>
      </c>
      <c r="F25" s="3" t="s">
        <v>54</v>
      </c>
      <c r="G25" s="3" t="s">
        <v>48</v>
      </c>
      <c r="H25" s="3">
        <v>2134.5</v>
      </c>
      <c r="I25" s="3">
        <v>4</v>
      </c>
      <c r="J25" s="3">
        <f t="shared" si="2"/>
        <v>8538</v>
      </c>
      <c r="K25" s="3" t="s">
        <v>31</v>
      </c>
      <c r="L25" s="3">
        <v>1</v>
      </c>
      <c r="M25" s="3">
        <v>2</v>
      </c>
      <c r="N25" s="3" t="s">
        <v>546</v>
      </c>
      <c r="O25" s="3" t="s">
        <v>551</v>
      </c>
      <c r="P25" s="3" t="s">
        <v>548</v>
      </c>
      <c r="Q25" s="3">
        <v>0.05</v>
      </c>
      <c r="R25" s="3">
        <v>400000</v>
      </c>
      <c r="S25" s="3">
        <v>50</v>
      </c>
      <c r="T25" s="3">
        <v>7</v>
      </c>
      <c r="U25" s="3">
        <v>40</v>
      </c>
    </row>
    <row r="26" spans="1:21" x14ac:dyDescent="0.25">
      <c r="A26" s="3" t="s">
        <v>83</v>
      </c>
      <c r="B26" s="3" t="s">
        <v>84</v>
      </c>
      <c r="C26" s="3" t="str">
        <f t="shared" si="0"/>
        <v>Jun</v>
      </c>
      <c r="D26" s="3">
        <v>32</v>
      </c>
      <c r="E26" s="3" t="str">
        <f t="shared" si="1"/>
        <v>adult</v>
      </c>
      <c r="F26" s="3" t="s">
        <v>29</v>
      </c>
      <c r="G26" s="3" t="s">
        <v>48</v>
      </c>
      <c r="H26" s="3">
        <v>1404.66</v>
      </c>
      <c r="I26" s="3">
        <v>1</v>
      </c>
      <c r="J26" s="3">
        <f t="shared" si="2"/>
        <v>1404.66</v>
      </c>
      <c r="K26" s="3" t="s">
        <v>36</v>
      </c>
      <c r="L26" s="3">
        <v>7</v>
      </c>
      <c r="M26" s="3">
        <v>3</v>
      </c>
      <c r="N26" s="3" t="s">
        <v>546</v>
      </c>
      <c r="O26" s="3" t="s">
        <v>551</v>
      </c>
      <c r="P26" s="3" t="s">
        <v>11</v>
      </c>
      <c r="Q26" s="3">
        <v>0.05</v>
      </c>
      <c r="R26" s="3">
        <v>400000</v>
      </c>
      <c r="S26" s="3">
        <v>80</v>
      </c>
      <c r="T26" s="3">
        <v>7</v>
      </c>
      <c r="U26" s="3">
        <v>40</v>
      </c>
    </row>
    <row r="27" spans="1:21" x14ac:dyDescent="0.25">
      <c r="A27" s="3" t="s">
        <v>85</v>
      </c>
      <c r="B27" s="3" t="s">
        <v>86</v>
      </c>
      <c r="C27" s="3" t="str">
        <f t="shared" si="0"/>
        <v>May</v>
      </c>
      <c r="D27" s="3">
        <v>53</v>
      </c>
      <c r="E27" s="3" t="str">
        <f t="shared" si="1"/>
        <v>senior</v>
      </c>
      <c r="F27" s="3" t="s">
        <v>45</v>
      </c>
      <c r="G27" s="3" t="s">
        <v>30</v>
      </c>
      <c r="H27" s="3">
        <v>4074.35</v>
      </c>
      <c r="I27" s="3">
        <v>3</v>
      </c>
      <c r="J27" s="3">
        <f t="shared" si="2"/>
        <v>12223.05</v>
      </c>
      <c r="K27" s="3" t="s">
        <v>22</v>
      </c>
      <c r="L27" s="3">
        <v>2</v>
      </c>
      <c r="M27" s="3">
        <v>1</v>
      </c>
      <c r="N27" s="3" t="s">
        <v>546</v>
      </c>
      <c r="O27" s="3" t="s">
        <v>547</v>
      </c>
      <c r="P27" s="3" t="s">
        <v>544</v>
      </c>
      <c r="Q27" s="3">
        <v>0.12</v>
      </c>
      <c r="R27" s="3">
        <v>350000</v>
      </c>
      <c r="S27" s="3">
        <v>31</v>
      </c>
      <c r="T27" s="3">
        <v>12</v>
      </c>
      <c r="U27" s="3">
        <v>100</v>
      </c>
    </row>
    <row r="28" spans="1:21" x14ac:dyDescent="0.25">
      <c r="A28" s="3" t="s">
        <v>87</v>
      </c>
      <c r="B28" s="3" t="s">
        <v>88</v>
      </c>
      <c r="C28" s="3" t="str">
        <f t="shared" si="0"/>
        <v>Oct</v>
      </c>
      <c r="D28" s="3">
        <v>29</v>
      </c>
      <c r="E28" s="3" t="str">
        <f t="shared" si="1"/>
        <v>adult</v>
      </c>
      <c r="F28" s="3" t="s">
        <v>34</v>
      </c>
      <c r="G28" s="3" t="s">
        <v>51</v>
      </c>
      <c r="H28" s="3">
        <v>2724.67</v>
      </c>
      <c r="I28" s="3">
        <v>4</v>
      </c>
      <c r="J28" s="3">
        <f t="shared" si="2"/>
        <v>10898.68</v>
      </c>
      <c r="K28" s="3" t="s">
        <v>42</v>
      </c>
      <c r="L28" s="3">
        <v>6</v>
      </c>
      <c r="M28" s="3">
        <v>2</v>
      </c>
      <c r="N28" s="3" t="s">
        <v>546</v>
      </c>
      <c r="O28" s="3" t="s">
        <v>552</v>
      </c>
      <c r="P28" s="3" t="s">
        <v>550</v>
      </c>
      <c r="Q28" s="3">
        <v>0.14000000000000001</v>
      </c>
      <c r="R28" s="3">
        <v>300000</v>
      </c>
      <c r="S28" s="3">
        <v>90</v>
      </c>
      <c r="T28" s="3">
        <v>12</v>
      </c>
      <c r="U28" s="3">
        <v>70</v>
      </c>
    </row>
    <row r="29" spans="1:21" x14ac:dyDescent="0.25">
      <c r="A29" s="3" t="s">
        <v>89</v>
      </c>
      <c r="B29" s="3" t="s">
        <v>90</v>
      </c>
      <c r="C29" s="3" t="str">
        <f t="shared" si="0"/>
        <v>Mar</v>
      </c>
      <c r="D29" s="3">
        <v>23</v>
      </c>
      <c r="E29" s="3" t="str">
        <f t="shared" si="1"/>
        <v>adult</v>
      </c>
      <c r="F29" s="3" t="s">
        <v>45</v>
      </c>
      <c r="G29" s="3" t="s">
        <v>51</v>
      </c>
      <c r="H29" s="3">
        <v>4871.7</v>
      </c>
      <c r="I29" s="3">
        <v>2</v>
      </c>
      <c r="J29" s="3">
        <f t="shared" si="2"/>
        <v>9743.4</v>
      </c>
      <c r="K29" s="3" t="s">
        <v>39</v>
      </c>
      <c r="L29" s="3">
        <v>1</v>
      </c>
      <c r="M29" s="3">
        <v>2</v>
      </c>
      <c r="N29" s="3" t="s">
        <v>546</v>
      </c>
      <c r="O29" s="3" t="s">
        <v>552</v>
      </c>
      <c r="P29" s="3" t="s">
        <v>39</v>
      </c>
      <c r="Q29" s="3">
        <v>0.14000000000000001</v>
      </c>
      <c r="R29" s="3">
        <v>300000</v>
      </c>
      <c r="S29" s="3">
        <v>50</v>
      </c>
      <c r="T29" s="3">
        <v>12</v>
      </c>
      <c r="U29" s="3">
        <v>70</v>
      </c>
    </row>
    <row r="30" spans="1:21" x14ac:dyDescent="0.25">
      <c r="A30" s="3" t="s">
        <v>91</v>
      </c>
      <c r="B30" s="3" t="s">
        <v>92</v>
      </c>
      <c r="C30" s="3" t="str">
        <f t="shared" si="0"/>
        <v>Dec</v>
      </c>
      <c r="D30" s="3">
        <v>26</v>
      </c>
      <c r="E30" s="3" t="str">
        <f t="shared" si="1"/>
        <v>adult</v>
      </c>
      <c r="F30" s="3" t="s">
        <v>45</v>
      </c>
      <c r="G30" s="3" t="s">
        <v>26</v>
      </c>
      <c r="H30" s="3">
        <v>934.21</v>
      </c>
      <c r="I30" s="3">
        <v>3</v>
      </c>
      <c r="J30" s="3">
        <f t="shared" si="2"/>
        <v>2802.63</v>
      </c>
      <c r="K30" s="3" t="s">
        <v>36</v>
      </c>
      <c r="L30" s="3">
        <v>8</v>
      </c>
      <c r="M30" s="3">
        <v>1</v>
      </c>
      <c r="N30" s="3" t="s">
        <v>546</v>
      </c>
      <c r="O30" s="3" t="s">
        <v>545</v>
      </c>
      <c r="P30" s="3" t="s">
        <v>11</v>
      </c>
      <c r="Q30" s="3">
        <v>0.12</v>
      </c>
      <c r="R30" s="3">
        <v>240000</v>
      </c>
      <c r="S30" s="3">
        <v>80</v>
      </c>
      <c r="T30" s="3">
        <v>14</v>
      </c>
      <c r="U30" s="3">
        <v>30</v>
      </c>
    </row>
    <row r="31" spans="1:21" x14ac:dyDescent="0.25">
      <c r="A31" s="3" t="s">
        <v>93</v>
      </c>
      <c r="B31" s="3" t="s">
        <v>94</v>
      </c>
      <c r="C31" s="3" t="str">
        <f t="shared" si="0"/>
        <v>Aug</v>
      </c>
      <c r="D31" s="3">
        <v>58</v>
      </c>
      <c r="E31" s="3" t="str">
        <f t="shared" si="1"/>
        <v>senior</v>
      </c>
      <c r="F31" s="3" t="s">
        <v>54</v>
      </c>
      <c r="G31" s="3" t="s">
        <v>48</v>
      </c>
      <c r="H31" s="3">
        <v>1435.73</v>
      </c>
      <c r="I31" s="3">
        <v>2</v>
      </c>
      <c r="J31" s="3">
        <f t="shared" si="2"/>
        <v>2871.46</v>
      </c>
      <c r="K31" s="3" t="s">
        <v>36</v>
      </c>
      <c r="L31" s="3">
        <v>10</v>
      </c>
      <c r="M31" s="3">
        <v>2</v>
      </c>
      <c r="N31" s="3" t="s">
        <v>546</v>
      </c>
      <c r="O31" s="3" t="s">
        <v>551</v>
      </c>
      <c r="P31" s="3" t="s">
        <v>11</v>
      </c>
      <c r="Q31" s="3">
        <v>0.05</v>
      </c>
      <c r="R31" s="3">
        <v>400000</v>
      </c>
      <c r="S31" s="3">
        <v>80</v>
      </c>
      <c r="T31" s="3">
        <v>7</v>
      </c>
      <c r="U31" s="3">
        <v>40</v>
      </c>
    </row>
    <row r="32" spans="1:21" x14ac:dyDescent="0.25">
      <c r="A32" s="3" t="s">
        <v>95</v>
      </c>
      <c r="B32" s="3" t="s">
        <v>92</v>
      </c>
      <c r="C32" s="3" t="str">
        <f t="shared" si="0"/>
        <v>Dec</v>
      </c>
      <c r="D32" s="3">
        <v>20</v>
      </c>
      <c r="E32" s="3" t="str">
        <f t="shared" si="1"/>
        <v>teenager</v>
      </c>
      <c r="F32" s="3" t="s">
        <v>34</v>
      </c>
      <c r="G32" s="3" t="s">
        <v>26</v>
      </c>
      <c r="H32" s="3">
        <v>1668.69</v>
      </c>
      <c r="I32" s="3">
        <v>2</v>
      </c>
      <c r="J32" s="3">
        <f t="shared" si="2"/>
        <v>3337.38</v>
      </c>
      <c r="K32" s="3" t="s">
        <v>42</v>
      </c>
      <c r="L32" s="3">
        <v>6</v>
      </c>
      <c r="M32" s="3">
        <v>4</v>
      </c>
      <c r="N32" s="3" t="s">
        <v>546</v>
      </c>
      <c r="O32" s="3" t="s">
        <v>545</v>
      </c>
      <c r="P32" s="3" t="s">
        <v>550</v>
      </c>
      <c r="Q32" s="3">
        <v>0.12</v>
      </c>
      <c r="R32" s="3">
        <v>240000</v>
      </c>
      <c r="S32" s="3">
        <v>90</v>
      </c>
      <c r="T32" s="3">
        <v>14</v>
      </c>
      <c r="U32" s="3">
        <v>30</v>
      </c>
    </row>
    <row r="33" spans="1:21" x14ac:dyDescent="0.25">
      <c r="A33" s="3" t="s">
        <v>96</v>
      </c>
      <c r="B33" s="3" t="s">
        <v>97</v>
      </c>
      <c r="C33" s="3" t="str">
        <f t="shared" si="0"/>
        <v>Aug</v>
      </c>
      <c r="D33" s="3">
        <v>42</v>
      </c>
      <c r="E33" s="3" t="str">
        <f t="shared" si="1"/>
        <v>adult</v>
      </c>
      <c r="F33" s="3" t="s">
        <v>25</v>
      </c>
      <c r="G33" s="3" t="s">
        <v>30</v>
      </c>
      <c r="H33" s="3">
        <v>2686.04</v>
      </c>
      <c r="I33" s="3">
        <v>3</v>
      </c>
      <c r="J33" s="3">
        <f t="shared" si="2"/>
        <v>8058.12</v>
      </c>
      <c r="K33" s="3" t="s">
        <v>36</v>
      </c>
      <c r="L33" s="3">
        <v>8</v>
      </c>
      <c r="M33" s="3">
        <v>3</v>
      </c>
      <c r="N33" s="3" t="s">
        <v>546</v>
      </c>
      <c r="O33" s="3" t="s">
        <v>547</v>
      </c>
      <c r="P33" s="3" t="s">
        <v>11</v>
      </c>
      <c r="Q33" s="3">
        <v>0.12</v>
      </c>
      <c r="R33" s="3">
        <v>350000</v>
      </c>
      <c r="S33" s="3">
        <v>80</v>
      </c>
      <c r="T33" s="3">
        <v>12</v>
      </c>
      <c r="U33" s="3">
        <v>100</v>
      </c>
    </row>
    <row r="34" spans="1:21" x14ac:dyDescent="0.25">
      <c r="A34" s="3" t="s">
        <v>98</v>
      </c>
      <c r="B34" s="3" t="s">
        <v>99</v>
      </c>
      <c r="C34" s="3" t="str">
        <f t="shared" si="0"/>
        <v>Mar</v>
      </c>
      <c r="D34" s="3">
        <v>21</v>
      </c>
      <c r="E34" s="3" t="str">
        <f t="shared" si="1"/>
        <v>adult</v>
      </c>
      <c r="F34" s="3" t="s">
        <v>45</v>
      </c>
      <c r="G34" s="3" t="s">
        <v>26</v>
      </c>
      <c r="H34" s="3">
        <v>477.1</v>
      </c>
      <c r="I34" s="3">
        <v>1</v>
      </c>
      <c r="J34" s="3">
        <f t="shared" si="2"/>
        <v>477.1</v>
      </c>
      <c r="K34" s="3" t="s">
        <v>42</v>
      </c>
      <c r="L34" s="3">
        <v>4</v>
      </c>
      <c r="M34" s="3">
        <v>3</v>
      </c>
      <c r="N34" s="3" t="s">
        <v>546</v>
      </c>
      <c r="O34" s="3" t="s">
        <v>545</v>
      </c>
      <c r="P34" s="3" t="s">
        <v>550</v>
      </c>
      <c r="Q34" s="3">
        <v>0.12</v>
      </c>
      <c r="R34" s="3">
        <v>240000</v>
      </c>
      <c r="S34" s="3">
        <v>90</v>
      </c>
      <c r="T34" s="3">
        <v>14</v>
      </c>
      <c r="U34" s="3">
        <v>30</v>
      </c>
    </row>
    <row r="35" spans="1:21" x14ac:dyDescent="0.25">
      <c r="A35" s="3" t="s">
        <v>100</v>
      </c>
      <c r="B35" s="3" t="s">
        <v>101</v>
      </c>
      <c r="C35" s="3" t="str">
        <f t="shared" si="0"/>
        <v>Jan</v>
      </c>
      <c r="D35" s="3">
        <v>33</v>
      </c>
      <c r="E35" s="3" t="str">
        <f t="shared" si="1"/>
        <v>adult</v>
      </c>
      <c r="F35" s="3" t="s">
        <v>45</v>
      </c>
      <c r="G35" s="3" t="s">
        <v>51</v>
      </c>
      <c r="H35" s="3">
        <v>885.81</v>
      </c>
      <c r="I35" s="3">
        <v>1</v>
      </c>
      <c r="J35" s="3">
        <f t="shared" si="2"/>
        <v>885.81</v>
      </c>
      <c r="K35" s="3" t="s">
        <v>36</v>
      </c>
      <c r="L35" s="3">
        <v>3</v>
      </c>
      <c r="M35" s="3">
        <v>2</v>
      </c>
      <c r="N35" s="3" t="s">
        <v>546</v>
      </c>
      <c r="O35" s="3" t="s">
        <v>552</v>
      </c>
      <c r="P35" s="3" t="s">
        <v>11</v>
      </c>
      <c r="Q35" s="3">
        <v>0.14000000000000001</v>
      </c>
      <c r="R35" s="3">
        <v>300000</v>
      </c>
      <c r="S35" s="3">
        <v>80</v>
      </c>
      <c r="T35" s="3">
        <v>12</v>
      </c>
      <c r="U35" s="3">
        <v>70</v>
      </c>
    </row>
    <row r="36" spans="1:21" x14ac:dyDescent="0.25">
      <c r="A36" s="3" t="s">
        <v>102</v>
      </c>
      <c r="B36" s="3" t="s">
        <v>103</v>
      </c>
      <c r="C36" s="3" t="str">
        <f t="shared" si="0"/>
        <v>Jun</v>
      </c>
      <c r="D36" s="3">
        <v>50</v>
      </c>
      <c r="E36" s="3" t="str">
        <f t="shared" si="1"/>
        <v>adult</v>
      </c>
      <c r="F36" s="3" t="s">
        <v>54</v>
      </c>
      <c r="G36" s="3" t="s">
        <v>30</v>
      </c>
      <c r="H36" s="3">
        <v>951.52</v>
      </c>
      <c r="I36" s="3">
        <v>5</v>
      </c>
      <c r="J36" s="3">
        <f t="shared" si="2"/>
        <v>4757.6000000000004</v>
      </c>
      <c r="K36" s="3" t="s">
        <v>42</v>
      </c>
      <c r="L36" s="3">
        <v>6</v>
      </c>
      <c r="M36" s="3">
        <v>1</v>
      </c>
      <c r="N36" s="3" t="s">
        <v>546</v>
      </c>
      <c r="O36" s="3" t="s">
        <v>547</v>
      </c>
      <c r="P36" s="3" t="s">
        <v>550</v>
      </c>
      <c r="Q36" s="3">
        <v>0.12</v>
      </c>
      <c r="R36" s="3">
        <v>350000</v>
      </c>
      <c r="S36" s="3">
        <v>90</v>
      </c>
      <c r="T36" s="3">
        <v>12</v>
      </c>
      <c r="U36" s="3">
        <v>100</v>
      </c>
    </row>
    <row r="37" spans="1:21" x14ac:dyDescent="0.25">
      <c r="A37" s="3" t="s">
        <v>104</v>
      </c>
      <c r="B37" s="3" t="s">
        <v>97</v>
      </c>
      <c r="C37" s="3" t="str">
        <f t="shared" si="0"/>
        <v>Aug</v>
      </c>
      <c r="D37" s="3">
        <v>21</v>
      </c>
      <c r="E37" s="3" t="str">
        <f t="shared" si="1"/>
        <v>adult</v>
      </c>
      <c r="F37" s="3" t="s">
        <v>45</v>
      </c>
      <c r="G37" s="3" t="s">
        <v>26</v>
      </c>
      <c r="H37" s="3">
        <v>2548.16</v>
      </c>
      <c r="I37" s="3">
        <v>2</v>
      </c>
      <c r="J37" s="3">
        <f t="shared" si="2"/>
        <v>5096.32</v>
      </c>
      <c r="K37" s="3" t="s">
        <v>31</v>
      </c>
      <c r="L37" s="3">
        <v>5</v>
      </c>
      <c r="M37" s="3">
        <v>1</v>
      </c>
      <c r="N37" s="3" t="s">
        <v>546</v>
      </c>
      <c r="O37" s="3" t="s">
        <v>545</v>
      </c>
      <c r="P37" s="3" t="s">
        <v>548</v>
      </c>
      <c r="Q37" s="3">
        <v>0.12</v>
      </c>
      <c r="R37" s="3">
        <v>240000</v>
      </c>
      <c r="S37" s="3">
        <v>50</v>
      </c>
      <c r="T37" s="3">
        <v>14</v>
      </c>
      <c r="U37" s="3">
        <v>30</v>
      </c>
    </row>
    <row r="38" spans="1:21" x14ac:dyDescent="0.25">
      <c r="A38" s="3" t="s">
        <v>105</v>
      </c>
      <c r="B38" s="3" t="s">
        <v>106</v>
      </c>
      <c r="C38" s="3" t="str">
        <f t="shared" si="0"/>
        <v>Oct</v>
      </c>
      <c r="D38" s="3">
        <v>55</v>
      </c>
      <c r="E38" s="3" t="str">
        <f t="shared" si="1"/>
        <v>senior</v>
      </c>
      <c r="F38" s="3" t="s">
        <v>45</v>
      </c>
      <c r="G38" s="3" t="s">
        <v>30</v>
      </c>
      <c r="H38" s="3">
        <v>3901.4</v>
      </c>
      <c r="I38" s="3">
        <v>2</v>
      </c>
      <c r="J38" s="3">
        <f t="shared" si="2"/>
        <v>7802.8</v>
      </c>
      <c r="K38" s="3" t="s">
        <v>31</v>
      </c>
      <c r="L38" s="3">
        <v>3</v>
      </c>
      <c r="M38" s="3">
        <v>4</v>
      </c>
      <c r="N38" s="3" t="s">
        <v>546</v>
      </c>
      <c r="O38" s="3" t="s">
        <v>547</v>
      </c>
      <c r="P38" s="3" t="s">
        <v>548</v>
      </c>
      <c r="Q38" s="3">
        <v>0.12</v>
      </c>
      <c r="R38" s="3">
        <v>350000</v>
      </c>
      <c r="S38" s="3">
        <v>50</v>
      </c>
      <c r="T38" s="3">
        <v>12</v>
      </c>
      <c r="U38" s="3">
        <v>100</v>
      </c>
    </row>
    <row r="39" spans="1:21" x14ac:dyDescent="0.25">
      <c r="A39" s="3" t="s">
        <v>107</v>
      </c>
      <c r="B39" s="3" t="s">
        <v>108</v>
      </c>
      <c r="C39" s="3" t="str">
        <f t="shared" si="0"/>
        <v>Feb</v>
      </c>
      <c r="D39" s="3">
        <v>20</v>
      </c>
      <c r="E39" s="3" t="str">
        <f t="shared" si="1"/>
        <v>teenager</v>
      </c>
      <c r="F39" s="3" t="s">
        <v>25</v>
      </c>
      <c r="G39" s="3" t="s">
        <v>30</v>
      </c>
      <c r="H39" s="3">
        <v>3255.11</v>
      </c>
      <c r="I39" s="3">
        <v>3</v>
      </c>
      <c r="J39" s="3">
        <f t="shared" si="2"/>
        <v>9765.33</v>
      </c>
      <c r="K39" s="3" t="s">
        <v>36</v>
      </c>
      <c r="L39" s="3">
        <v>7</v>
      </c>
      <c r="M39" s="3">
        <v>2</v>
      </c>
      <c r="N39" s="3" t="s">
        <v>546</v>
      </c>
      <c r="O39" s="3" t="s">
        <v>547</v>
      </c>
      <c r="P39" s="3" t="s">
        <v>11</v>
      </c>
      <c r="Q39" s="3">
        <v>0.12</v>
      </c>
      <c r="R39" s="3">
        <v>350000</v>
      </c>
      <c r="S39" s="3">
        <v>80</v>
      </c>
      <c r="T39" s="3">
        <v>12</v>
      </c>
      <c r="U39" s="3">
        <v>100</v>
      </c>
    </row>
    <row r="40" spans="1:21" x14ac:dyDescent="0.25">
      <c r="A40" s="3" t="s">
        <v>109</v>
      </c>
      <c r="B40" s="3" t="s">
        <v>97</v>
      </c>
      <c r="C40" s="3" t="str">
        <f t="shared" si="0"/>
        <v>Aug</v>
      </c>
      <c r="D40" s="3">
        <v>23</v>
      </c>
      <c r="E40" s="3" t="str">
        <f t="shared" si="1"/>
        <v>adult</v>
      </c>
      <c r="F40" s="3" t="s">
        <v>25</v>
      </c>
      <c r="G40" s="3" t="s">
        <v>21</v>
      </c>
      <c r="H40" s="3">
        <v>3044.88</v>
      </c>
      <c r="I40" s="3">
        <v>1</v>
      </c>
      <c r="J40" s="3">
        <f t="shared" si="2"/>
        <v>3044.88</v>
      </c>
      <c r="K40" s="3" t="s">
        <v>22</v>
      </c>
      <c r="L40" s="3">
        <v>9</v>
      </c>
      <c r="M40" s="3">
        <v>1</v>
      </c>
      <c r="N40" s="3" t="s">
        <v>546</v>
      </c>
      <c r="O40" s="3" t="s">
        <v>543</v>
      </c>
      <c r="P40" s="3" t="s">
        <v>544</v>
      </c>
      <c r="Q40" s="3">
        <v>0.1</v>
      </c>
      <c r="R40" s="3">
        <v>560000</v>
      </c>
      <c r="S40" s="3">
        <v>31</v>
      </c>
      <c r="T40" s="3">
        <v>13</v>
      </c>
      <c r="U40" s="3">
        <v>60</v>
      </c>
    </row>
    <row r="41" spans="1:21" x14ac:dyDescent="0.25">
      <c r="A41" s="3" t="s">
        <v>110</v>
      </c>
      <c r="B41" s="3" t="s">
        <v>111</v>
      </c>
      <c r="C41" s="3" t="str">
        <f t="shared" si="0"/>
        <v>Jun</v>
      </c>
      <c r="D41" s="3">
        <v>50</v>
      </c>
      <c r="E41" s="3" t="str">
        <f t="shared" si="1"/>
        <v>adult</v>
      </c>
      <c r="F41" s="3" t="s">
        <v>20</v>
      </c>
      <c r="G41" s="3" t="s">
        <v>26</v>
      </c>
      <c r="H41" s="3">
        <v>1257.98</v>
      </c>
      <c r="I41" s="3">
        <v>1</v>
      </c>
      <c r="J41" s="3">
        <f t="shared" si="2"/>
        <v>1257.98</v>
      </c>
      <c r="K41" s="3" t="s">
        <v>31</v>
      </c>
      <c r="L41" s="3">
        <v>1</v>
      </c>
      <c r="M41" s="3">
        <v>5</v>
      </c>
      <c r="N41" s="3" t="s">
        <v>546</v>
      </c>
      <c r="O41" s="3" t="s">
        <v>545</v>
      </c>
      <c r="P41" s="3" t="s">
        <v>548</v>
      </c>
      <c r="Q41" s="3">
        <v>0.12</v>
      </c>
      <c r="R41" s="3">
        <v>240000</v>
      </c>
      <c r="S41" s="3">
        <v>50</v>
      </c>
      <c r="T41" s="3">
        <v>14</v>
      </c>
      <c r="U41" s="3">
        <v>30</v>
      </c>
    </row>
    <row r="42" spans="1:21" x14ac:dyDescent="0.25">
      <c r="A42" s="3" t="s">
        <v>112</v>
      </c>
      <c r="B42" s="3" t="s">
        <v>113</v>
      </c>
      <c r="C42" s="3" t="str">
        <f t="shared" si="0"/>
        <v>Oct</v>
      </c>
      <c r="D42" s="3">
        <v>53</v>
      </c>
      <c r="E42" s="3" t="str">
        <f t="shared" si="1"/>
        <v>senior</v>
      </c>
      <c r="F42" s="3" t="s">
        <v>34</v>
      </c>
      <c r="G42" s="3" t="s">
        <v>21</v>
      </c>
      <c r="H42" s="3">
        <v>816.96</v>
      </c>
      <c r="I42" s="3">
        <v>5</v>
      </c>
      <c r="J42" s="3">
        <f t="shared" si="2"/>
        <v>4084.8</v>
      </c>
      <c r="K42" s="3" t="s">
        <v>36</v>
      </c>
      <c r="L42" s="3">
        <v>3</v>
      </c>
      <c r="M42" s="3">
        <v>5</v>
      </c>
      <c r="N42" s="3" t="s">
        <v>542</v>
      </c>
      <c r="O42" s="3" t="s">
        <v>543</v>
      </c>
      <c r="P42" s="3" t="s">
        <v>11</v>
      </c>
      <c r="Q42" s="3">
        <v>0.1</v>
      </c>
      <c r="R42" s="3">
        <v>560000</v>
      </c>
      <c r="S42" s="3">
        <v>80</v>
      </c>
      <c r="T42" s="3">
        <v>13</v>
      </c>
      <c r="U42" s="3">
        <v>60</v>
      </c>
    </row>
    <row r="43" spans="1:21" x14ac:dyDescent="0.25">
      <c r="A43" s="3" t="s">
        <v>114</v>
      </c>
      <c r="B43" s="3" t="s">
        <v>115</v>
      </c>
      <c r="C43" s="3" t="str">
        <f t="shared" si="0"/>
        <v>Jul</v>
      </c>
      <c r="D43" s="3">
        <v>23</v>
      </c>
      <c r="E43" s="3" t="str">
        <f t="shared" si="1"/>
        <v>adult</v>
      </c>
      <c r="F43" s="3" t="s">
        <v>45</v>
      </c>
      <c r="G43" s="3" t="s">
        <v>51</v>
      </c>
      <c r="H43" s="3">
        <v>1312.78</v>
      </c>
      <c r="I43" s="3">
        <v>2</v>
      </c>
      <c r="J43" s="3">
        <f t="shared" si="2"/>
        <v>2625.56</v>
      </c>
      <c r="K43" s="3" t="s">
        <v>36</v>
      </c>
      <c r="L43" s="3">
        <v>10</v>
      </c>
      <c r="M43" s="3">
        <v>2</v>
      </c>
      <c r="N43" s="3" t="s">
        <v>546</v>
      </c>
      <c r="O43" s="3" t="s">
        <v>552</v>
      </c>
      <c r="P43" s="3" t="s">
        <v>11</v>
      </c>
      <c r="Q43" s="3">
        <v>0.14000000000000001</v>
      </c>
      <c r="R43" s="3">
        <v>300000</v>
      </c>
      <c r="S43" s="3">
        <v>80</v>
      </c>
      <c r="T43" s="3">
        <v>12</v>
      </c>
      <c r="U43" s="3">
        <v>70</v>
      </c>
    </row>
    <row r="44" spans="1:21" x14ac:dyDescent="0.25">
      <c r="A44" s="3" t="s">
        <v>116</v>
      </c>
      <c r="B44" s="3" t="s">
        <v>28</v>
      </c>
      <c r="C44" s="3" t="str">
        <f t="shared" si="0"/>
        <v>Aug</v>
      </c>
      <c r="D44" s="3">
        <v>45</v>
      </c>
      <c r="E44" s="3" t="str">
        <f t="shared" si="1"/>
        <v>adult</v>
      </c>
      <c r="F44" s="3" t="s">
        <v>25</v>
      </c>
      <c r="G44" s="3" t="s">
        <v>35</v>
      </c>
      <c r="H44" s="3">
        <v>2966.63</v>
      </c>
      <c r="I44" s="3">
        <v>3</v>
      </c>
      <c r="J44" s="3">
        <f t="shared" si="2"/>
        <v>8899.89</v>
      </c>
      <c r="K44" s="3" t="s">
        <v>36</v>
      </c>
      <c r="L44" s="3">
        <v>8</v>
      </c>
      <c r="M44" s="3">
        <v>2</v>
      </c>
      <c r="N44" s="3" t="s">
        <v>546</v>
      </c>
      <c r="O44" s="3" t="s">
        <v>549</v>
      </c>
      <c r="P44" s="3" t="s">
        <v>11</v>
      </c>
      <c r="Q44" s="3">
        <v>0.18</v>
      </c>
      <c r="R44" s="3">
        <v>450000</v>
      </c>
      <c r="S44" s="3">
        <v>80</v>
      </c>
      <c r="T44" s="3">
        <v>15</v>
      </c>
      <c r="U44" s="3">
        <v>50</v>
      </c>
    </row>
    <row r="45" spans="1:21" x14ac:dyDescent="0.25">
      <c r="A45" s="3" t="s">
        <v>117</v>
      </c>
      <c r="B45" s="3" t="s">
        <v>118</v>
      </c>
      <c r="C45" s="3" t="str">
        <f t="shared" si="0"/>
        <v>May</v>
      </c>
      <c r="D45" s="3">
        <v>20</v>
      </c>
      <c r="E45" s="3" t="str">
        <f t="shared" si="1"/>
        <v>teenager</v>
      </c>
      <c r="F45" s="3" t="s">
        <v>34</v>
      </c>
      <c r="G45" s="3" t="s">
        <v>21</v>
      </c>
      <c r="H45" s="3">
        <v>1864.22</v>
      </c>
      <c r="I45" s="3">
        <v>3</v>
      </c>
      <c r="J45" s="3">
        <f t="shared" si="2"/>
        <v>5592.66</v>
      </c>
      <c r="K45" s="3" t="s">
        <v>31</v>
      </c>
      <c r="L45" s="3">
        <v>8</v>
      </c>
      <c r="M45" s="3">
        <v>1</v>
      </c>
      <c r="N45" s="3" t="s">
        <v>546</v>
      </c>
      <c r="O45" s="3" t="s">
        <v>543</v>
      </c>
      <c r="P45" s="3" t="s">
        <v>548</v>
      </c>
      <c r="Q45" s="3">
        <v>0.1</v>
      </c>
      <c r="R45" s="3">
        <v>560000</v>
      </c>
      <c r="S45" s="3">
        <v>50</v>
      </c>
      <c r="T45" s="3">
        <v>13</v>
      </c>
      <c r="U45" s="3">
        <v>60</v>
      </c>
    </row>
    <row r="46" spans="1:21" x14ac:dyDescent="0.25">
      <c r="A46" s="3" t="s">
        <v>119</v>
      </c>
      <c r="B46" s="3" t="s">
        <v>120</v>
      </c>
      <c r="C46" s="3" t="str">
        <f t="shared" si="0"/>
        <v>Jan</v>
      </c>
      <c r="D46" s="3">
        <v>59</v>
      </c>
      <c r="E46" s="3" t="str">
        <f t="shared" si="1"/>
        <v>senior</v>
      </c>
      <c r="F46" s="3" t="s">
        <v>45</v>
      </c>
      <c r="G46" s="3" t="s">
        <v>48</v>
      </c>
      <c r="H46" s="3">
        <v>2967.96</v>
      </c>
      <c r="I46" s="3">
        <v>4</v>
      </c>
      <c r="J46" s="3">
        <f t="shared" si="2"/>
        <v>11871.84</v>
      </c>
      <c r="K46" s="3" t="s">
        <v>36</v>
      </c>
      <c r="L46" s="3">
        <v>3</v>
      </c>
      <c r="M46" s="3">
        <v>1</v>
      </c>
      <c r="N46" s="3" t="s">
        <v>546</v>
      </c>
      <c r="O46" s="3" t="s">
        <v>551</v>
      </c>
      <c r="P46" s="3" t="s">
        <v>11</v>
      </c>
      <c r="Q46" s="3">
        <v>0.05</v>
      </c>
      <c r="R46" s="3">
        <v>400000</v>
      </c>
      <c r="S46" s="3">
        <v>80</v>
      </c>
      <c r="T46" s="3">
        <v>7</v>
      </c>
      <c r="U46" s="3">
        <v>40</v>
      </c>
    </row>
    <row r="47" spans="1:21" x14ac:dyDescent="0.25">
      <c r="A47" s="3" t="s">
        <v>121</v>
      </c>
      <c r="B47" s="3" t="s">
        <v>122</v>
      </c>
      <c r="C47" s="3" t="str">
        <f t="shared" si="0"/>
        <v>Aug</v>
      </c>
      <c r="D47" s="3">
        <v>37</v>
      </c>
      <c r="E47" s="3" t="str">
        <f t="shared" si="1"/>
        <v>adult</v>
      </c>
      <c r="F47" s="3" t="s">
        <v>34</v>
      </c>
      <c r="G47" s="3" t="s">
        <v>26</v>
      </c>
      <c r="H47" s="3">
        <v>3883.55</v>
      </c>
      <c r="I47" s="3">
        <v>5</v>
      </c>
      <c r="J47" s="3">
        <f t="shared" si="2"/>
        <v>19417.75</v>
      </c>
      <c r="K47" s="3" t="s">
        <v>22</v>
      </c>
      <c r="L47" s="3">
        <v>1</v>
      </c>
      <c r="M47" s="3">
        <v>4</v>
      </c>
      <c r="N47" s="3" t="s">
        <v>542</v>
      </c>
      <c r="O47" s="3" t="s">
        <v>545</v>
      </c>
      <c r="P47" s="3" t="s">
        <v>544</v>
      </c>
      <c r="Q47" s="3">
        <v>0.12</v>
      </c>
      <c r="R47" s="3">
        <v>240000</v>
      </c>
      <c r="S47" s="3">
        <v>31</v>
      </c>
      <c r="T47" s="3">
        <v>14</v>
      </c>
      <c r="U47" s="3">
        <v>30</v>
      </c>
    </row>
    <row r="48" spans="1:21" x14ac:dyDescent="0.25">
      <c r="A48" s="3" t="s">
        <v>123</v>
      </c>
      <c r="B48" s="3" t="s">
        <v>124</v>
      </c>
      <c r="C48" s="3" t="str">
        <f t="shared" si="0"/>
        <v>Jan</v>
      </c>
      <c r="D48" s="3">
        <v>29</v>
      </c>
      <c r="E48" s="3" t="str">
        <f t="shared" si="1"/>
        <v>adult</v>
      </c>
      <c r="F48" s="3" t="s">
        <v>45</v>
      </c>
      <c r="G48" s="3" t="s">
        <v>26</v>
      </c>
      <c r="H48" s="3">
        <v>1405.75</v>
      </c>
      <c r="I48" s="3">
        <v>1</v>
      </c>
      <c r="J48" s="3">
        <f t="shared" si="2"/>
        <v>1405.75</v>
      </c>
      <c r="K48" s="3" t="s">
        <v>39</v>
      </c>
      <c r="L48" s="3">
        <v>3</v>
      </c>
      <c r="M48" s="3">
        <v>1</v>
      </c>
      <c r="N48" s="3" t="s">
        <v>546</v>
      </c>
      <c r="O48" s="3" t="s">
        <v>545</v>
      </c>
      <c r="P48" s="3" t="s">
        <v>39</v>
      </c>
      <c r="Q48" s="3">
        <v>0.12</v>
      </c>
      <c r="R48" s="3">
        <v>240000</v>
      </c>
      <c r="S48" s="3">
        <v>50</v>
      </c>
      <c r="T48" s="3">
        <v>14</v>
      </c>
      <c r="U48" s="3">
        <v>30</v>
      </c>
    </row>
    <row r="49" spans="1:21" x14ac:dyDescent="0.25">
      <c r="A49" s="3" t="s">
        <v>125</v>
      </c>
      <c r="B49" s="3" t="s">
        <v>126</v>
      </c>
      <c r="C49" s="3" t="str">
        <f t="shared" si="0"/>
        <v>Sep</v>
      </c>
      <c r="D49" s="3">
        <v>47</v>
      </c>
      <c r="E49" s="3" t="str">
        <f t="shared" si="1"/>
        <v>adult</v>
      </c>
      <c r="F49" s="3" t="s">
        <v>54</v>
      </c>
      <c r="G49" s="3" t="s">
        <v>35</v>
      </c>
      <c r="H49" s="3">
        <v>4299.9399999999996</v>
      </c>
      <c r="I49" s="3">
        <v>5</v>
      </c>
      <c r="J49" s="3">
        <f t="shared" si="2"/>
        <v>21499.699999999997</v>
      </c>
      <c r="K49" s="3" t="s">
        <v>31</v>
      </c>
      <c r="L49" s="3">
        <v>1</v>
      </c>
      <c r="M49" s="3">
        <v>3</v>
      </c>
      <c r="N49" s="3" t="s">
        <v>546</v>
      </c>
      <c r="O49" s="3" t="s">
        <v>549</v>
      </c>
      <c r="P49" s="3" t="s">
        <v>548</v>
      </c>
      <c r="Q49" s="3">
        <v>0.18</v>
      </c>
      <c r="R49" s="3">
        <v>450000</v>
      </c>
      <c r="S49" s="3">
        <v>50</v>
      </c>
      <c r="T49" s="3">
        <v>15</v>
      </c>
      <c r="U49" s="3">
        <v>50</v>
      </c>
    </row>
    <row r="50" spans="1:21" x14ac:dyDescent="0.25">
      <c r="A50" s="3" t="s">
        <v>127</v>
      </c>
      <c r="B50" s="3" t="s">
        <v>128</v>
      </c>
      <c r="C50" s="3" t="str">
        <f t="shared" si="0"/>
        <v>Nov</v>
      </c>
      <c r="D50" s="3">
        <v>59</v>
      </c>
      <c r="E50" s="3" t="str">
        <f t="shared" si="1"/>
        <v>senior</v>
      </c>
      <c r="F50" s="3" t="s">
        <v>45</v>
      </c>
      <c r="G50" s="3" t="s">
        <v>51</v>
      </c>
      <c r="H50" s="3">
        <v>860.99</v>
      </c>
      <c r="I50" s="3">
        <v>1</v>
      </c>
      <c r="J50" s="3">
        <f t="shared" si="2"/>
        <v>860.99</v>
      </c>
      <c r="K50" s="3" t="s">
        <v>42</v>
      </c>
      <c r="L50" s="3">
        <v>2</v>
      </c>
      <c r="M50" s="3">
        <v>5</v>
      </c>
      <c r="N50" s="3" t="s">
        <v>546</v>
      </c>
      <c r="O50" s="3" t="s">
        <v>552</v>
      </c>
      <c r="P50" s="3" t="s">
        <v>550</v>
      </c>
      <c r="Q50" s="3">
        <v>0.14000000000000001</v>
      </c>
      <c r="R50" s="3">
        <v>300000</v>
      </c>
      <c r="S50" s="3">
        <v>90</v>
      </c>
      <c r="T50" s="3">
        <v>12</v>
      </c>
      <c r="U50" s="3">
        <v>70</v>
      </c>
    </row>
    <row r="51" spans="1:21" x14ac:dyDescent="0.25">
      <c r="A51" s="3" t="s">
        <v>129</v>
      </c>
      <c r="B51" s="3" t="s">
        <v>130</v>
      </c>
      <c r="C51" s="3" t="str">
        <f t="shared" si="0"/>
        <v>May</v>
      </c>
      <c r="D51" s="3">
        <v>34</v>
      </c>
      <c r="E51" s="3" t="str">
        <f t="shared" si="1"/>
        <v>adult</v>
      </c>
      <c r="F51" s="3" t="s">
        <v>34</v>
      </c>
      <c r="G51" s="3" t="s">
        <v>35</v>
      </c>
      <c r="H51" s="3">
        <v>2519.5500000000002</v>
      </c>
      <c r="I51" s="3">
        <v>4</v>
      </c>
      <c r="J51" s="3">
        <f t="shared" si="2"/>
        <v>10078.200000000001</v>
      </c>
      <c r="K51" s="3" t="s">
        <v>31</v>
      </c>
      <c r="L51" s="3">
        <v>4</v>
      </c>
      <c r="M51" s="3">
        <v>2</v>
      </c>
      <c r="N51" s="3" t="s">
        <v>546</v>
      </c>
      <c r="O51" s="3" t="s">
        <v>549</v>
      </c>
      <c r="P51" s="3" t="s">
        <v>548</v>
      </c>
      <c r="Q51" s="3">
        <v>0.18</v>
      </c>
      <c r="R51" s="3">
        <v>450000</v>
      </c>
      <c r="S51" s="3">
        <v>50</v>
      </c>
      <c r="T51" s="3">
        <v>15</v>
      </c>
      <c r="U51" s="3">
        <v>50</v>
      </c>
    </row>
    <row r="52" spans="1:21" x14ac:dyDescent="0.25">
      <c r="A52" s="3" t="s">
        <v>131</v>
      </c>
      <c r="B52" s="3" t="s">
        <v>115</v>
      </c>
      <c r="C52" s="3" t="str">
        <f t="shared" si="0"/>
        <v>Jul</v>
      </c>
      <c r="D52" s="3">
        <v>31</v>
      </c>
      <c r="E52" s="3" t="str">
        <f t="shared" si="1"/>
        <v>adult</v>
      </c>
      <c r="F52" s="3" t="s">
        <v>20</v>
      </c>
      <c r="G52" s="3" t="s">
        <v>35</v>
      </c>
      <c r="H52" s="3">
        <v>746.83</v>
      </c>
      <c r="I52" s="3">
        <v>4</v>
      </c>
      <c r="J52" s="3">
        <f t="shared" si="2"/>
        <v>2987.32</v>
      </c>
      <c r="K52" s="3" t="s">
        <v>42</v>
      </c>
      <c r="L52" s="3">
        <v>5</v>
      </c>
      <c r="M52" s="3">
        <v>2</v>
      </c>
      <c r="N52" s="3" t="s">
        <v>546</v>
      </c>
      <c r="O52" s="3" t="s">
        <v>549</v>
      </c>
      <c r="P52" s="3" t="s">
        <v>550</v>
      </c>
      <c r="Q52" s="3">
        <v>0.18</v>
      </c>
      <c r="R52" s="3">
        <v>450000</v>
      </c>
      <c r="S52" s="3">
        <v>90</v>
      </c>
      <c r="T52" s="3">
        <v>15</v>
      </c>
      <c r="U52" s="3">
        <v>50</v>
      </c>
    </row>
    <row r="53" spans="1:21" x14ac:dyDescent="0.25">
      <c r="A53" s="3" t="s">
        <v>132</v>
      </c>
      <c r="B53" s="3" t="s">
        <v>133</v>
      </c>
      <c r="C53" s="3" t="str">
        <f t="shared" si="0"/>
        <v>Sep</v>
      </c>
      <c r="D53" s="3">
        <v>28</v>
      </c>
      <c r="E53" s="3" t="str">
        <f t="shared" si="1"/>
        <v>adult</v>
      </c>
      <c r="F53" s="3" t="s">
        <v>34</v>
      </c>
      <c r="G53" s="3" t="s">
        <v>21</v>
      </c>
      <c r="H53" s="3">
        <v>3945.76</v>
      </c>
      <c r="I53" s="3">
        <v>4</v>
      </c>
      <c r="J53" s="3">
        <f t="shared" si="2"/>
        <v>15783.04</v>
      </c>
      <c r="K53" s="3" t="s">
        <v>22</v>
      </c>
      <c r="L53" s="3">
        <v>7</v>
      </c>
      <c r="M53" s="3">
        <v>2</v>
      </c>
      <c r="N53" s="3" t="s">
        <v>546</v>
      </c>
      <c r="O53" s="3" t="s">
        <v>543</v>
      </c>
      <c r="P53" s="3" t="s">
        <v>544</v>
      </c>
      <c r="Q53" s="3">
        <v>0.1</v>
      </c>
      <c r="R53" s="3">
        <v>560000</v>
      </c>
      <c r="S53" s="3">
        <v>31</v>
      </c>
      <c r="T53" s="3">
        <v>13</v>
      </c>
      <c r="U53" s="3">
        <v>60</v>
      </c>
    </row>
    <row r="54" spans="1:21" x14ac:dyDescent="0.25">
      <c r="A54" s="3" t="s">
        <v>134</v>
      </c>
      <c r="B54" s="3" t="s">
        <v>135</v>
      </c>
      <c r="C54" s="3" t="str">
        <f t="shared" si="0"/>
        <v>Aug</v>
      </c>
      <c r="D54" s="3">
        <v>29</v>
      </c>
      <c r="E54" s="3" t="str">
        <f t="shared" si="1"/>
        <v>adult</v>
      </c>
      <c r="F54" s="3" t="s">
        <v>54</v>
      </c>
      <c r="G54" s="3" t="s">
        <v>48</v>
      </c>
      <c r="H54" s="3">
        <v>4685.42</v>
      </c>
      <c r="I54" s="3">
        <v>1</v>
      </c>
      <c r="J54" s="3">
        <f t="shared" si="2"/>
        <v>4685.42</v>
      </c>
      <c r="K54" s="3" t="s">
        <v>36</v>
      </c>
      <c r="L54" s="3">
        <v>7</v>
      </c>
      <c r="M54" s="3">
        <v>1</v>
      </c>
      <c r="N54" s="3" t="s">
        <v>546</v>
      </c>
      <c r="O54" s="3" t="s">
        <v>551</v>
      </c>
      <c r="P54" s="3" t="s">
        <v>11</v>
      </c>
      <c r="Q54" s="3">
        <v>0.05</v>
      </c>
      <c r="R54" s="3">
        <v>400000</v>
      </c>
      <c r="S54" s="3">
        <v>80</v>
      </c>
      <c r="T54" s="3">
        <v>7</v>
      </c>
      <c r="U54" s="3">
        <v>40</v>
      </c>
    </row>
    <row r="55" spans="1:21" x14ac:dyDescent="0.25">
      <c r="A55" s="3" t="s">
        <v>136</v>
      </c>
      <c r="B55" s="3" t="s">
        <v>137</v>
      </c>
      <c r="C55" s="3" t="str">
        <f t="shared" si="0"/>
        <v>Feb</v>
      </c>
      <c r="D55" s="3">
        <v>26</v>
      </c>
      <c r="E55" s="3" t="str">
        <f t="shared" si="1"/>
        <v>adult</v>
      </c>
      <c r="F55" s="3" t="s">
        <v>25</v>
      </c>
      <c r="G55" s="3" t="s">
        <v>51</v>
      </c>
      <c r="H55" s="3">
        <v>3191.35</v>
      </c>
      <c r="I55" s="3">
        <v>1</v>
      </c>
      <c r="J55" s="3">
        <f t="shared" si="2"/>
        <v>3191.35</v>
      </c>
      <c r="K55" s="3" t="s">
        <v>39</v>
      </c>
      <c r="L55" s="3">
        <v>9</v>
      </c>
      <c r="M55" s="3">
        <v>5</v>
      </c>
      <c r="N55" s="3" t="s">
        <v>546</v>
      </c>
      <c r="O55" s="3" t="s">
        <v>552</v>
      </c>
      <c r="P55" s="3" t="s">
        <v>39</v>
      </c>
      <c r="Q55" s="3">
        <v>0.14000000000000001</v>
      </c>
      <c r="R55" s="3">
        <v>300000</v>
      </c>
      <c r="S55" s="3">
        <v>50</v>
      </c>
      <c r="T55" s="3">
        <v>12</v>
      </c>
      <c r="U55" s="3">
        <v>70</v>
      </c>
    </row>
    <row r="56" spans="1:21" x14ac:dyDescent="0.25">
      <c r="A56" s="3" t="s">
        <v>138</v>
      </c>
      <c r="B56" s="3" t="s">
        <v>139</v>
      </c>
      <c r="C56" s="3" t="str">
        <f t="shared" si="0"/>
        <v>Feb</v>
      </c>
      <c r="D56" s="3">
        <v>46</v>
      </c>
      <c r="E56" s="3" t="str">
        <f t="shared" si="1"/>
        <v>adult</v>
      </c>
      <c r="F56" s="3" t="s">
        <v>20</v>
      </c>
      <c r="G56" s="3" t="s">
        <v>30</v>
      </c>
      <c r="H56" s="3">
        <v>3943.23</v>
      </c>
      <c r="I56" s="3">
        <v>1</v>
      </c>
      <c r="J56" s="3">
        <f t="shared" si="2"/>
        <v>3943.23</v>
      </c>
      <c r="K56" s="3" t="s">
        <v>22</v>
      </c>
      <c r="L56" s="3">
        <v>2</v>
      </c>
      <c r="M56" s="3">
        <v>3</v>
      </c>
      <c r="N56" s="3" t="s">
        <v>546</v>
      </c>
      <c r="O56" s="3" t="s">
        <v>547</v>
      </c>
      <c r="P56" s="3" t="s">
        <v>544</v>
      </c>
      <c r="Q56" s="3">
        <v>0.12</v>
      </c>
      <c r="R56" s="3">
        <v>350000</v>
      </c>
      <c r="S56" s="3">
        <v>31</v>
      </c>
      <c r="T56" s="3">
        <v>12</v>
      </c>
      <c r="U56" s="3">
        <v>100</v>
      </c>
    </row>
    <row r="57" spans="1:21" x14ac:dyDescent="0.25">
      <c r="A57" s="3" t="s">
        <v>140</v>
      </c>
      <c r="B57" s="3" t="s">
        <v>141</v>
      </c>
      <c r="C57" s="3" t="str">
        <f t="shared" si="0"/>
        <v>Oct</v>
      </c>
      <c r="D57" s="3">
        <v>37</v>
      </c>
      <c r="E57" s="3" t="str">
        <f t="shared" si="1"/>
        <v>adult</v>
      </c>
      <c r="F57" s="3" t="s">
        <v>20</v>
      </c>
      <c r="G57" s="3" t="s">
        <v>21</v>
      </c>
      <c r="H57" s="3">
        <v>3257.33</v>
      </c>
      <c r="I57" s="3">
        <v>2</v>
      </c>
      <c r="J57" s="3">
        <f t="shared" si="2"/>
        <v>6514.66</v>
      </c>
      <c r="K57" s="3" t="s">
        <v>31</v>
      </c>
      <c r="L57" s="3">
        <v>10</v>
      </c>
      <c r="M57" s="3">
        <v>5</v>
      </c>
      <c r="N57" s="3" t="s">
        <v>546</v>
      </c>
      <c r="O57" s="3" t="s">
        <v>543</v>
      </c>
      <c r="P57" s="3" t="s">
        <v>548</v>
      </c>
      <c r="Q57" s="3">
        <v>0.1</v>
      </c>
      <c r="R57" s="3">
        <v>560000</v>
      </c>
      <c r="S57" s="3">
        <v>50</v>
      </c>
      <c r="T57" s="3">
        <v>13</v>
      </c>
      <c r="U57" s="3">
        <v>60</v>
      </c>
    </row>
    <row r="58" spans="1:21" x14ac:dyDescent="0.25">
      <c r="A58" s="3" t="s">
        <v>142</v>
      </c>
      <c r="B58" s="3" t="s">
        <v>143</v>
      </c>
      <c r="C58" s="3" t="str">
        <f t="shared" si="0"/>
        <v>Sep</v>
      </c>
      <c r="D58" s="3">
        <v>19</v>
      </c>
      <c r="E58" s="3" t="str">
        <f t="shared" si="1"/>
        <v>teenager</v>
      </c>
      <c r="F58" s="3" t="s">
        <v>20</v>
      </c>
      <c r="G58" s="3" t="s">
        <v>26</v>
      </c>
      <c r="H58" s="3">
        <v>2089.09</v>
      </c>
      <c r="I58" s="3">
        <v>5</v>
      </c>
      <c r="J58" s="3">
        <f t="shared" si="2"/>
        <v>10445.450000000001</v>
      </c>
      <c r="K58" s="3" t="s">
        <v>22</v>
      </c>
      <c r="L58" s="3">
        <v>1</v>
      </c>
      <c r="M58" s="3">
        <v>3</v>
      </c>
      <c r="N58" s="3" t="s">
        <v>546</v>
      </c>
      <c r="O58" s="3" t="s">
        <v>545</v>
      </c>
      <c r="P58" s="3" t="s">
        <v>544</v>
      </c>
      <c r="Q58" s="3">
        <v>0.12</v>
      </c>
      <c r="R58" s="3">
        <v>240000</v>
      </c>
      <c r="S58" s="3">
        <v>31</v>
      </c>
      <c r="T58" s="3">
        <v>14</v>
      </c>
      <c r="U58" s="3">
        <v>30</v>
      </c>
    </row>
    <row r="59" spans="1:21" x14ac:dyDescent="0.25">
      <c r="A59" s="3" t="s">
        <v>144</v>
      </c>
      <c r="B59" s="3" t="s">
        <v>145</v>
      </c>
      <c r="C59" s="3" t="str">
        <f t="shared" si="0"/>
        <v>Jan</v>
      </c>
      <c r="D59" s="3">
        <v>30</v>
      </c>
      <c r="E59" s="3" t="str">
        <f t="shared" si="1"/>
        <v>adult</v>
      </c>
      <c r="F59" s="3" t="s">
        <v>54</v>
      </c>
      <c r="G59" s="3" t="s">
        <v>30</v>
      </c>
      <c r="H59" s="3">
        <v>992.84</v>
      </c>
      <c r="I59" s="3">
        <v>4</v>
      </c>
      <c r="J59" s="3">
        <f t="shared" si="2"/>
        <v>3971.36</v>
      </c>
      <c r="K59" s="3" t="s">
        <v>36</v>
      </c>
      <c r="L59" s="3">
        <v>4</v>
      </c>
      <c r="M59" s="3">
        <v>1</v>
      </c>
      <c r="N59" s="3" t="s">
        <v>546</v>
      </c>
      <c r="O59" s="3" t="s">
        <v>547</v>
      </c>
      <c r="P59" s="3" t="s">
        <v>11</v>
      </c>
      <c r="Q59" s="3">
        <v>0.12</v>
      </c>
      <c r="R59" s="3">
        <v>350000</v>
      </c>
      <c r="S59" s="3">
        <v>80</v>
      </c>
      <c r="T59" s="3">
        <v>12</v>
      </c>
      <c r="U59" s="3">
        <v>100</v>
      </c>
    </row>
    <row r="60" spans="1:21" x14ac:dyDescent="0.25">
      <c r="A60" s="3" t="s">
        <v>146</v>
      </c>
      <c r="B60" s="3" t="s">
        <v>28</v>
      </c>
      <c r="C60" s="3" t="str">
        <f t="shared" si="0"/>
        <v>Aug</v>
      </c>
      <c r="D60" s="3">
        <v>37</v>
      </c>
      <c r="E60" s="3" t="str">
        <f t="shared" si="1"/>
        <v>adult</v>
      </c>
      <c r="F60" s="3" t="s">
        <v>54</v>
      </c>
      <c r="G60" s="3" t="s">
        <v>21</v>
      </c>
      <c r="H60" s="3">
        <v>1799.69</v>
      </c>
      <c r="I60" s="3">
        <v>5</v>
      </c>
      <c r="J60" s="3">
        <f t="shared" si="2"/>
        <v>8998.4500000000007</v>
      </c>
      <c r="K60" s="3" t="s">
        <v>39</v>
      </c>
      <c r="L60" s="3">
        <v>2</v>
      </c>
      <c r="M60" s="3">
        <v>2</v>
      </c>
      <c r="N60" s="3" t="s">
        <v>546</v>
      </c>
      <c r="O60" s="3" t="s">
        <v>543</v>
      </c>
      <c r="P60" s="3" t="s">
        <v>39</v>
      </c>
      <c r="Q60" s="3">
        <v>0.1</v>
      </c>
      <c r="R60" s="3">
        <v>560000</v>
      </c>
      <c r="S60" s="3">
        <v>50</v>
      </c>
      <c r="T60" s="3">
        <v>13</v>
      </c>
      <c r="U60" s="3">
        <v>60</v>
      </c>
    </row>
    <row r="61" spans="1:21" x14ac:dyDescent="0.25">
      <c r="A61" s="3" t="s">
        <v>147</v>
      </c>
      <c r="B61" s="3" t="s">
        <v>148</v>
      </c>
      <c r="C61" s="3" t="str">
        <f t="shared" si="0"/>
        <v>Sep</v>
      </c>
      <c r="D61" s="3">
        <v>40</v>
      </c>
      <c r="E61" s="3" t="str">
        <f t="shared" si="1"/>
        <v>adult</v>
      </c>
      <c r="F61" s="3" t="s">
        <v>29</v>
      </c>
      <c r="G61" s="3" t="s">
        <v>21</v>
      </c>
      <c r="H61" s="3">
        <v>307.61</v>
      </c>
      <c r="I61" s="3">
        <v>1</v>
      </c>
      <c r="J61" s="3">
        <f t="shared" si="2"/>
        <v>307.61</v>
      </c>
      <c r="K61" s="3" t="s">
        <v>31</v>
      </c>
      <c r="L61" s="3">
        <v>4</v>
      </c>
      <c r="M61" s="3">
        <v>3</v>
      </c>
      <c r="N61" s="3" t="s">
        <v>546</v>
      </c>
      <c r="O61" s="3" t="s">
        <v>543</v>
      </c>
      <c r="P61" s="3" t="s">
        <v>548</v>
      </c>
      <c r="Q61" s="3">
        <v>0.1</v>
      </c>
      <c r="R61" s="3">
        <v>560000</v>
      </c>
      <c r="S61" s="3">
        <v>50</v>
      </c>
      <c r="T61" s="3">
        <v>13</v>
      </c>
      <c r="U61" s="3">
        <v>60</v>
      </c>
    </row>
    <row r="62" spans="1:21" x14ac:dyDescent="0.25">
      <c r="A62" s="3" t="s">
        <v>149</v>
      </c>
      <c r="B62" s="3" t="s">
        <v>150</v>
      </c>
      <c r="C62" s="3" t="str">
        <f t="shared" si="0"/>
        <v>Dec</v>
      </c>
      <c r="D62" s="3">
        <v>34</v>
      </c>
      <c r="E62" s="3" t="str">
        <f t="shared" si="1"/>
        <v>adult</v>
      </c>
      <c r="F62" s="3" t="s">
        <v>20</v>
      </c>
      <c r="G62" s="3" t="s">
        <v>35</v>
      </c>
      <c r="H62" s="3">
        <v>2957.68</v>
      </c>
      <c r="I62" s="3">
        <v>4</v>
      </c>
      <c r="J62" s="3">
        <f t="shared" si="2"/>
        <v>11830.72</v>
      </c>
      <c r="K62" s="3" t="s">
        <v>39</v>
      </c>
      <c r="L62" s="3">
        <v>1</v>
      </c>
      <c r="M62" s="3">
        <v>1</v>
      </c>
      <c r="N62" s="3" t="s">
        <v>546</v>
      </c>
      <c r="O62" s="3" t="s">
        <v>549</v>
      </c>
      <c r="P62" s="3" t="s">
        <v>39</v>
      </c>
      <c r="Q62" s="3">
        <v>0.18</v>
      </c>
      <c r="R62" s="3">
        <v>450000</v>
      </c>
      <c r="S62" s="3">
        <v>50</v>
      </c>
      <c r="T62" s="3">
        <v>15</v>
      </c>
      <c r="U62" s="3">
        <v>50</v>
      </c>
    </row>
    <row r="63" spans="1:21" x14ac:dyDescent="0.25">
      <c r="A63" s="3" t="s">
        <v>151</v>
      </c>
      <c r="B63" s="3" t="s">
        <v>152</v>
      </c>
      <c r="C63" s="3" t="str">
        <f t="shared" si="0"/>
        <v>Sep</v>
      </c>
      <c r="D63" s="3">
        <v>42</v>
      </c>
      <c r="E63" s="3" t="str">
        <f t="shared" si="1"/>
        <v>adult</v>
      </c>
      <c r="F63" s="3" t="s">
        <v>29</v>
      </c>
      <c r="G63" s="3" t="s">
        <v>48</v>
      </c>
      <c r="H63" s="3">
        <v>4901.13</v>
      </c>
      <c r="I63" s="3">
        <v>1</v>
      </c>
      <c r="J63" s="3">
        <f t="shared" si="2"/>
        <v>4901.13</v>
      </c>
      <c r="K63" s="3" t="s">
        <v>22</v>
      </c>
      <c r="L63" s="3">
        <v>1</v>
      </c>
      <c r="M63" s="3">
        <v>5</v>
      </c>
      <c r="N63" s="3" t="s">
        <v>546</v>
      </c>
      <c r="O63" s="3" t="s">
        <v>551</v>
      </c>
      <c r="P63" s="3" t="s">
        <v>544</v>
      </c>
      <c r="Q63" s="3">
        <v>0.05</v>
      </c>
      <c r="R63" s="3">
        <v>400000</v>
      </c>
      <c r="S63" s="3">
        <v>31</v>
      </c>
      <c r="T63" s="3">
        <v>7</v>
      </c>
      <c r="U63" s="3">
        <v>40</v>
      </c>
    </row>
    <row r="64" spans="1:21" x14ac:dyDescent="0.25">
      <c r="A64" s="3" t="s">
        <v>153</v>
      </c>
      <c r="B64" s="3" t="s">
        <v>66</v>
      </c>
      <c r="C64" s="3" t="str">
        <f t="shared" si="0"/>
        <v>May</v>
      </c>
      <c r="D64" s="3">
        <v>50</v>
      </c>
      <c r="E64" s="3" t="str">
        <f t="shared" si="1"/>
        <v>adult</v>
      </c>
      <c r="F64" s="3" t="s">
        <v>54</v>
      </c>
      <c r="G64" s="3" t="s">
        <v>30</v>
      </c>
      <c r="H64" s="3">
        <v>3886.43</v>
      </c>
      <c r="I64" s="3">
        <v>2</v>
      </c>
      <c r="J64" s="3">
        <f t="shared" si="2"/>
        <v>7772.86</v>
      </c>
      <c r="K64" s="3" t="s">
        <v>39</v>
      </c>
      <c r="L64" s="3">
        <v>2</v>
      </c>
      <c r="M64" s="3">
        <v>1</v>
      </c>
      <c r="N64" s="3" t="s">
        <v>546</v>
      </c>
      <c r="O64" s="3" t="s">
        <v>547</v>
      </c>
      <c r="P64" s="3" t="s">
        <v>39</v>
      </c>
      <c r="Q64" s="3">
        <v>0.12</v>
      </c>
      <c r="R64" s="3">
        <v>350000</v>
      </c>
      <c r="S64" s="3">
        <v>50</v>
      </c>
      <c r="T64" s="3">
        <v>12</v>
      </c>
      <c r="U64" s="3">
        <v>100</v>
      </c>
    </row>
    <row r="65" spans="1:21" x14ac:dyDescent="0.25">
      <c r="A65" s="3" t="s">
        <v>154</v>
      </c>
      <c r="B65" s="3" t="s">
        <v>72</v>
      </c>
      <c r="C65" s="3" t="str">
        <f t="shared" si="0"/>
        <v>Oct</v>
      </c>
      <c r="D65" s="3">
        <v>40</v>
      </c>
      <c r="E65" s="3" t="str">
        <f t="shared" si="1"/>
        <v>adult</v>
      </c>
      <c r="F65" s="3" t="s">
        <v>20</v>
      </c>
      <c r="G65" s="3" t="s">
        <v>48</v>
      </c>
      <c r="H65" s="3">
        <v>4264.84</v>
      </c>
      <c r="I65" s="3">
        <v>4</v>
      </c>
      <c r="J65" s="3">
        <f t="shared" si="2"/>
        <v>17059.36</v>
      </c>
      <c r="K65" s="3" t="s">
        <v>22</v>
      </c>
      <c r="L65" s="3">
        <v>8</v>
      </c>
      <c r="M65" s="3">
        <v>3</v>
      </c>
      <c r="N65" s="3" t="s">
        <v>546</v>
      </c>
      <c r="O65" s="3" t="s">
        <v>551</v>
      </c>
      <c r="P65" s="3" t="s">
        <v>544</v>
      </c>
      <c r="Q65" s="3">
        <v>0.05</v>
      </c>
      <c r="R65" s="3">
        <v>400000</v>
      </c>
      <c r="S65" s="3">
        <v>31</v>
      </c>
      <c r="T65" s="3">
        <v>7</v>
      </c>
      <c r="U65" s="3">
        <v>40</v>
      </c>
    </row>
    <row r="66" spans="1:21" x14ac:dyDescent="0.25">
      <c r="A66" s="3" t="s">
        <v>155</v>
      </c>
      <c r="B66" s="3" t="s">
        <v>156</v>
      </c>
      <c r="C66" s="3" t="str">
        <f t="shared" ref="C66:C129" si="3">TEXT(B66,"mmm")</f>
        <v>Jan</v>
      </c>
      <c r="D66" s="3">
        <v>53</v>
      </c>
      <c r="E66" s="3" t="str">
        <f t="shared" si="1"/>
        <v>senior</v>
      </c>
      <c r="F66" s="3" t="s">
        <v>29</v>
      </c>
      <c r="G66" s="3" t="s">
        <v>26</v>
      </c>
      <c r="H66" s="3">
        <v>2995.05</v>
      </c>
      <c r="I66" s="3">
        <v>2</v>
      </c>
      <c r="J66" s="3">
        <f t="shared" si="2"/>
        <v>5990.1</v>
      </c>
      <c r="K66" s="3" t="s">
        <v>36</v>
      </c>
      <c r="L66" s="3">
        <v>10</v>
      </c>
      <c r="M66" s="3">
        <v>3</v>
      </c>
      <c r="N66" s="3" t="s">
        <v>546</v>
      </c>
      <c r="O66" s="3" t="s">
        <v>545</v>
      </c>
      <c r="P66" s="3" t="s">
        <v>11</v>
      </c>
      <c r="Q66" s="3">
        <v>0.12</v>
      </c>
      <c r="R66" s="3">
        <v>240000</v>
      </c>
      <c r="S66" s="3">
        <v>80</v>
      </c>
      <c r="T66" s="3">
        <v>14</v>
      </c>
      <c r="U66" s="3">
        <v>30</v>
      </c>
    </row>
    <row r="67" spans="1:21" x14ac:dyDescent="0.25">
      <c r="A67" s="3" t="s">
        <v>157</v>
      </c>
      <c r="B67" s="3" t="s">
        <v>158</v>
      </c>
      <c r="C67" s="3" t="str">
        <f t="shared" si="3"/>
        <v>Jan</v>
      </c>
      <c r="D67" s="3">
        <v>56</v>
      </c>
      <c r="E67" s="3" t="str">
        <f t="shared" ref="E67:E130" si="4">IF(D67&gt;50,"senior",IF(D67&gt;=21,"adult","teenager"))</f>
        <v>senior</v>
      </c>
      <c r="F67" s="3" t="s">
        <v>34</v>
      </c>
      <c r="G67" s="3" t="s">
        <v>35</v>
      </c>
      <c r="H67" s="3">
        <v>576.41</v>
      </c>
      <c r="I67" s="3">
        <v>2</v>
      </c>
      <c r="J67" s="3">
        <f t="shared" ref="J67:J130" si="5">H67*I67</f>
        <v>1152.82</v>
      </c>
      <c r="K67" s="3" t="s">
        <v>39</v>
      </c>
      <c r="L67" s="3">
        <v>3</v>
      </c>
      <c r="M67" s="3">
        <v>2</v>
      </c>
      <c r="N67" s="3" t="s">
        <v>546</v>
      </c>
      <c r="O67" s="3" t="s">
        <v>549</v>
      </c>
      <c r="P67" s="3" t="s">
        <v>39</v>
      </c>
      <c r="Q67" s="3">
        <v>0.18</v>
      </c>
      <c r="R67" s="3">
        <v>450000</v>
      </c>
      <c r="S67" s="3">
        <v>50</v>
      </c>
      <c r="T67" s="3">
        <v>15</v>
      </c>
      <c r="U67" s="3">
        <v>50</v>
      </c>
    </row>
    <row r="68" spans="1:21" x14ac:dyDescent="0.25">
      <c r="A68" s="3" t="s">
        <v>159</v>
      </c>
      <c r="B68" s="3" t="s">
        <v>160</v>
      </c>
      <c r="C68" s="3" t="str">
        <f t="shared" si="3"/>
        <v>Mar</v>
      </c>
      <c r="D68" s="3">
        <v>60</v>
      </c>
      <c r="E68" s="3" t="str">
        <f t="shared" si="4"/>
        <v>senior</v>
      </c>
      <c r="F68" s="3" t="s">
        <v>54</v>
      </c>
      <c r="G68" s="3" t="s">
        <v>26</v>
      </c>
      <c r="H68" s="3">
        <v>734.61</v>
      </c>
      <c r="I68" s="3">
        <v>5</v>
      </c>
      <c r="J68" s="3">
        <f t="shared" si="5"/>
        <v>3673.05</v>
      </c>
      <c r="K68" s="3" t="s">
        <v>22</v>
      </c>
      <c r="L68" s="3">
        <v>6</v>
      </c>
      <c r="M68" s="3">
        <v>3</v>
      </c>
      <c r="N68" s="3" t="s">
        <v>546</v>
      </c>
      <c r="O68" s="3" t="s">
        <v>545</v>
      </c>
      <c r="P68" s="3" t="s">
        <v>544</v>
      </c>
      <c r="Q68" s="3">
        <v>0.12</v>
      </c>
      <c r="R68" s="3">
        <v>240000</v>
      </c>
      <c r="S68" s="3">
        <v>31</v>
      </c>
      <c r="T68" s="3">
        <v>14</v>
      </c>
      <c r="U68" s="3">
        <v>30</v>
      </c>
    </row>
    <row r="69" spans="1:21" x14ac:dyDescent="0.25">
      <c r="A69" s="3" t="s">
        <v>161</v>
      </c>
      <c r="B69" s="3" t="s">
        <v>162</v>
      </c>
      <c r="C69" s="3" t="str">
        <f t="shared" si="3"/>
        <v>Oct</v>
      </c>
      <c r="D69" s="3">
        <v>44</v>
      </c>
      <c r="E69" s="3" t="str">
        <f t="shared" si="4"/>
        <v>adult</v>
      </c>
      <c r="F69" s="3" t="s">
        <v>25</v>
      </c>
      <c r="G69" s="3" t="s">
        <v>35</v>
      </c>
      <c r="H69" s="3">
        <v>1752.95</v>
      </c>
      <c r="I69" s="3">
        <v>2</v>
      </c>
      <c r="J69" s="3">
        <f t="shared" si="5"/>
        <v>3505.9</v>
      </c>
      <c r="K69" s="3" t="s">
        <v>31</v>
      </c>
      <c r="L69" s="3">
        <v>3</v>
      </c>
      <c r="M69" s="3">
        <v>3</v>
      </c>
      <c r="N69" s="3" t="s">
        <v>546</v>
      </c>
      <c r="O69" s="3" t="s">
        <v>549</v>
      </c>
      <c r="P69" s="3" t="s">
        <v>548</v>
      </c>
      <c r="Q69" s="3">
        <v>0.18</v>
      </c>
      <c r="R69" s="3">
        <v>450000</v>
      </c>
      <c r="S69" s="3">
        <v>50</v>
      </c>
      <c r="T69" s="3">
        <v>15</v>
      </c>
      <c r="U69" s="3">
        <v>50</v>
      </c>
    </row>
    <row r="70" spans="1:21" x14ac:dyDescent="0.25">
      <c r="A70" s="3" t="s">
        <v>163</v>
      </c>
      <c r="B70" s="3" t="s">
        <v>164</v>
      </c>
      <c r="C70" s="3" t="str">
        <f t="shared" si="3"/>
        <v>Mar</v>
      </c>
      <c r="D70" s="3">
        <v>41</v>
      </c>
      <c r="E70" s="3" t="str">
        <f t="shared" si="4"/>
        <v>adult</v>
      </c>
      <c r="F70" s="3" t="s">
        <v>20</v>
      </c>
      <c r="G70" s="3" t="s">
        <v>48</v>
      </c>
      <c r="H70" s="3">
        <v>4323.3599999999997</v>
      </c>
      <c r="I70" s="3">
        <v>4</v>
      </c>
      <c r="J70" s="3">
        <f t="shared" si="5"/>
        <v>17293.439999999999</v>
      </c>
      <c r="K70" s="3" t="s">
        <v>31</v>
      </c>
      <c r="L70" s="3">
        <v>5</v>
      </c>
      <c r="M70" s="3">
        <v>1</v>
      </c>
      <c r="N70" s="3" t="s">
        <v>546</v>
      </c>
      <c r="O70" s="3" t="s">
        <v>551</v>
      </c>
      <c r="P70" s="3" t="s">
        <v>548</v>
      </c>
      <c r="Q70" s="3">
        <v>0.05</v>
      </c>
      <c r="R70" s="3">
        <v>400000</v>
      </c>
      <c r="S70" s="3">
        <v>50</v>
      </c>
      <c r="T70" s="3">
        <v>7</v>
      </c>
      <c r="U70" s="3">
        <v>40</v>
      </c>
    </row>
    <row r="71" spans="1:21" x14ac:dyDescent="0.25">
      <c r="A71" s="3" t="s">
        <v>165</v>
      </c>
      <c r="B71" s="3" t="s">
        <v>166</v>
      </c>
      <c r="C71" s="3" t="str">
        <f t="shared" si="3"/>
        <v>Aug</v>
      </c>
      <c r="D71" s="3">
        <v>33</v>
      </c>
      <c r="E71" s="3" t="str">
        <f t="shared" si="4"/>
        <v>adult</v>
      </c>
      <c r="F71" s="3" t="s">
        <v>45</v>
      </c>
      <c r="G71" s="3" t="s">
        <v>30</v>
      </c>
      <c r="H71" s="3">
        <v>2300.69</v>
      </c>
      <c r="I71" s="3">
        <v>5</v>
      </c>
      <c r="J71" s="3">
        <f t="shared" si="5"/>
        <v>11503.45</v>
      </c>
      <c r="K71" s="3" t="s">
        <v>22</v>
      </c>
      <c r="L71" s="3">
        <v>4</v>
      </c>
      <c r="M71" s="3">
        <v>5</v>
      </c>
      <c r="N71" s="3" t="s">
        <v>542</v>
      </c>
      <c r="O71" s="3" t="s">
        <v>547</v>
      </c>
      <c r="P71" s="3" t="s">
        <v>544</v>
      </c>
      <c r="Q71" s="3">
        <v>0.12</v>
      </c>
      <c r="R71" s="3">
        <v>350000</v>
      </c>
      <c r="S71" s="3">
        <v>31</v>
      </c>
      <c r="T71" s="3">
        <v>12</v>
      </c>
      <c r="U71" s="3">
        <v>100</v>
      </c>
    </row>
    <row r="72" spans="1:21" x14ac:dyDescent="0.25">
      <c r="A72" s="3" t="s">
        <v>167</v>
      </c>
      <c r="B72" s="3" t="s">
        <v>168</v>
      </c>
      <c r="C72" s="3" t="str">
        <f t="shared" si="3"/>
        <v>Nov</v>
      </c>
      <c r="D72" s="3">
        <v>30</v>
      </c>
      <c r="E72" s="3" t="str">
        <f t="shared" si="4"/>
        <v>adult</v>
      </c>
      <c r="F72" s="3" t="s">
        <v>29</v>
      </c>
      <c r="G72" s="3" t="s">
        <v>48</v>
      </c>
      <c r="H72" s="3">
        <v>2328.27</v>
      </c>
      <c r="I72" s="3">
        <v>4</v>
      </c>
      <c r="J72" s="3">
        <f t="shared" si="5"/>
        <v>9313.08</v>
      </c>
      <c r="K72" s="3" t="s">
        <v>42</v>
      </c>
      <c r="L72" s="3">
        <v>4</v>
      </c>
      <c r="M72" s="3">
        <v>1</v>
      </c>
      <c r="N72" s="3" t="s">
        <v>546</v>
      </c>
      <c r="O72" s="3" t="s">
        <v>551</v>
      </c>
      <c r="P72" s="3" t="s">
        <v>550</v>
      </c>
      <c r="Q72" s="3">
        <v>0.05</v>
      </c>
      <c r="R72" s="3">
        <v>400000</v>
      </c>
      <c r="S72" s="3">
        <v>90</v>
      </c>
      <c r="T72" s="3">
        <v>7</v>
      </c>
      <c r="U72" s="3">
        <v>40</v>
      </c>
    </row>
    <row r="73" spans="1:21" x14ac:dyDescent="0.25">
      <c r="A73" s="3" t="s">
        <v>169</v>
      </c>
      <c r="B73" s="3" t="s">
        <v>170</v>
      </c>
      <c r="C73" s="3" t="str">
        <f t="shared" si="3"/>
        <v>Nov</v>
      </c>
      <c r="D73" s="3">
        <v>53</v>
      </c>
      <c r="E73" s="3" t="str">
        <f t="shared" si="4"/>
        <v>senior</v>
      </c>
      <c r="F73" s="3" t="s">
        <v>20</v>
      </c>
      <c r="G73" s="3" t="s">
        <v>35</v>
      </c>
      <c r="H73" s="3">
        <v>338.03</v>
      </c>
      <c r="I73" s="3">
        <v>5</v>
      </c>
      <c r="J73" s="3">
        <f t="shared" si="5"/>
        <v>1690.1499999999999</v>
      </c>
      <c r="K73" s="3" t="s">
        <v>22</v>
      </c>
      <c r="L73" s="3">
        <v>8</v>
      </c>
      <c r="M73" s="3">
        <v>1</v>
      </c>
      <c r="N73" s="3" t="s">
        <v>546</v>
      </c>
      <c r="O73" s="3" t="s">
        <v>549</v>
      </c>
      <c r="P73" s="3" t="s">
        <v>544</v>
      </c>
      <c r="Q73" s="3">
        <v>0.18</v>
      </c>
      <c r="R73" s="3">
        <v>450000</v>
      </c>
      <c r="S73" s="3">
        <v>31</v>
      </c>
      <c r="T73" s="3">
        <v>15</v>
      </c>
      <c r="U73" s="3">
        <v>50</v>
      </c>
    </row>
    <row r="74" spans="1:21" x14ac:dyDescent="0.25">
      <c r="A74" s="3" t="s">
        <v>171</v>
      </c>
      <c r="B74" s="3" t="s">
        <v>82</v>
      </c>
      <c r="C74" s="3" t="str">
        <f t="shared" si="3"/>
        <v>Jul</v>
      </c>
      <c r="D74" s="3">
        <v>42</v>
      </c>
      <c r="E74" s="3" t="str">
        <f t="shared" si="4"/>
        <v>adult</v>
      </c>
      <c r="F74" s="3" t="s">
        <v>25</v>
      </c>
      <c r="G74" s="3" t="s">
        <v>21</v>
      </c>
      <c r="H74" s="3">
        <v>4866.62</v>
      </c>
      <c r="I74" s="3">
        <v>5</v>
      </c>
      <c r="J74" s="3">
        <f t="shared" si="5"/>
        <v>24333.1</v>
      </c>
      <c r="K74" s="3" t="s">
        <v>42</v>
      </c>
      <c r="L74" s="3">
        <v>8</v>
      </c>
      <c r="M74" s="3">
        <v>1</v>
      </c>
      <c r="N74" s="3" t="s">
        <v>546</v>
      </c>
      <c r="O74" s="3" t="s">
        <v>543</v>
      </c>
      <c r="P74" s="3" t="s">
        <v>550</v>
      </c>
      <c r="Q74" s="3">
        <v>0.1</v>
      </c>
      <c r="R74" s="3">
        <v>560000</v>
      </c>
      <c r="S74" s="3">
        <v>90</v>
      </c>
      <c r="T74" s="3">
        <v>13</v>
      </c>
      <c r="U74" s="3">
        <v>60</v>
      </c>
    </row>
    <row r="75" spans="1:21" x14ac:dyDescent="0.25">
      <c r="A75" s="3" t="s">
        <v>172</v>
      </c>
      <c r="B75" s="3" t="s">
        <v>173</v>
      </c>
      <c r="C75" s="3" t="str">
        <f t="shared" si="3"/>
        <v>Nov</v>
      </c>
      <c r="D75" s="3">
        <v>47</v>
      </c>
      <c r="E75" s="3" t="str">
        <f t="shared" si="4"/>
        <v>adult</v>
      </c>
      <c r="F75" s="3" t="s">
        <v>29</v>
      </c>
      <c r="G75" s="3" t="s">
        <v>21</v>
      </c>
      <c r="H75" s="3">
        <v>4965.4399999999996</v>
      </c>
      <c r="I75" s="3">
        <v>5</v>
      </c>
      <c r="J75" s="3">
        <f t="shared" si="5"/>
        <v>24827.199999999997</v>
      </c>
      <c r="K75" s="3" t="s">
        <v>39</v>
      </c>
      <c r="L75" s="3">
        <v>2</v>
      </c>
      <c r="M75" s="3">
        <v>1</v>
      </c>
      <c r="N75" s="3" t="s">
        <v>546</v>
      </c>
      <c r="O75" s="3" t="s">
        <v>543</v>
      </c>
      <c r="P75" s="3" t="s">
        <v>39</v>
      </c>
      <c r="Q75" s="3">
        <v>0.1</v>
      </c>
      <c r="R75" s="3">
        <v>560000</v>
      </c>
      <c r="S75" s="3">
        <v>50</v>
      </c>
      <c r="T75" s="3">
        <v>13</v>
      </c>
      <c r="U75" s="3">
        <v>60</v>
      </c>
    </row>
    <row r="76" spans="1:21" x14ac:dyDescent="0.25">
      <c r="A76" s="3" t="s">
        <v>174</v>
      </c>
      <c r="B76" s="3" t="s">
        <v>175</v>
      </c>
      <c r="C76" s="3" t="str">
        <f t="shared" si="3"/>
        <v>Nov</v>
      </c>
      <c r="D76" s="3">
        <v>34</v>
      </c>
      <c r="E76" s="3" t="str">
        <f t="shared" si="4"/>
        <v>adult</v>
      </c>
      <c r="F76" s="3" t="s">
        <v>45</v>
      </c>
      <c r="G76" s="3" t="s">
        <v>30</v>
      </c>
      <c r="H76" s="3">
        <v>2752.84</v>
      </c>
      <c r="I76" s="3">
        <v>1</v>
      </c>
      <c r="J76" s="3">
        <f t="shared" si="5"/>
        <v>2752.84</v>
      </c>
      <c r="K76" s="3" t="s">
        <v>39</v>
      </c>
      <c r="L76" s="3">
        <v>10</v>
      </c>
      <c r="M76" s="3">
        <v>1</v>
      </c>
      <c r="N76" s="3" t="s">
        <v>546</v>
      </c>
      <c r="O76" s="3" t="s">
        <v>547</v>
      </c>
      <c r="P76" s="3" t="s">
        <v>39</v>
      </c>
      <c r="Q76" s="3">
        <v>0.12</v>
      </c>
      <c r="R76" s="3">
        <v>350000</v>
      </c>
      <c r="S76" s="3">
        <v>50</v>
      </c>
      <c r="T76" s="3">
        <v>12</v>
      </c>
      <c r="U76" s="3">
        <v>100</v>
      </c>
    </row>
    <row r="77" spans="1:21" x14ac:dyDescent="0.25">
      <c r="A77" s="3" t="s">
        <v>176</v>
      </c>
      <c r="B77" s="3" t="s">
        <v>177</v>
      </c>
      <c r="C77" s="3" t="str">
        <f t="shared" si="3"/>
        <v>Oct</v>
      </c>
      <c r="D77" s="3">
        <v>41</v>
      </c>
      <c r="E77" s="3" t="str">
        <f t="shared" si="4"/>
        <v>adult</v>
      </c>
      <c r="F77" s="3" t="s">
        <v>25</v>
      </c>
      <c r="G77" s="3" t="s">
        <v>26</v>
      </c>
      <c r="H77" s="3">
        <v>1748.64</v>
      </c>
      <c r="I77" s="3">
        <v>3</v>
      </c>
      <c r="J77" s="3">
        <f t="shared" si="5"/>
        <v>5245.92</v>
      </c>
      <c r="K77" s="3" t="s">
        <v>36</v>
      </c>
      <c r="L77" s="3">
        <v>6</v>
      </c>
      <c r="M77" s="3">
        <v>3</v>
      </c>
      <c r="N77" s="3" t="s">
        <v>546</v>
      </c>
      <c r="O77" s="3" t="s">
        <v>545</v>
      </c>
      <c r="P77" s="3" t="s">
        <v>11</v>
      </c>
      <c r="Q77" s="3">
        <v>0.12</v>
      </c>
      <c r="R77" s="3">
        <v>240000</v>
      </c>
      <c r="S77" s="3">
        <v>80</v>
      </c>
      <c r="T77" s="3">
        <v>14</v>
      </c>
      <c r="U77" s="3">
        <v>30</v>
      </c>
    </row>
    <row r="78" spans="1:21" x14ac:dyDescent="0.25">
      <c r="A78" s="3" t="s">
        <v>178</v>
      </c>
      <c r="B78" s="3" t="s">
        <v>130</v>
      </c>
      <c r="C78" s="3" t="str">
        <f t="shared" si="3"/>
        <v>May</v>
      </c>
      <c r="D78" s="3">
        <v>32</v>
      </c>
      <c r="E78" s="3" t="str">
        <f t="shared" si="4"/>
        <v>adult</v>
      </c>
      <c r="F78" s="3" t="s">
        <v>45</v>
      </c>
      <c r="G78" s="3" t="s">
        <v>35</v>
      </c>
      <c r="H78" s="3">
        <v>3639.41</v>
      </c>
      <c r="I78" s="3">
        <v>3</v>
      </c>
      <c r="J78" s="3">
        <f t="shared" si="5"/>
        <v>10918.23</v>
      </c>
      <c r="K78" s="3" t="s">
        <v>31</v>
      </c>
      <c r="L78" s="3">
        <v>5</v>
      </c>
      <c r="M78" s="3">
        <v>4</v>
      </c>
      <c r="N78" s="3" t="s">
        <v>542</v>
      </c>
      <c r="O78" s="3" t="s">
        <v>549</v>
      </c>
      <c r="P78" s="3" t="s">
        <v>548</v>
      </c>
      <c r="Q78" s="3">
        <v>0.18</v>
      </c>
      <c r="R78" s="3">
        <v>450000</v>
      </c>
      <c r="S78" s="3">
        <v>50</v>
      </c>
      <c r="T78" s="3">
        <v>15</v>
      </c>
      <c r="U78" s="3">
        <v>50</v>
      </c>
    </row>
    <row r="79" spans="1:21" x14ac:dyDescent="0.25">
      <c r="A79" s="3" t="s">
        <v>179</v>
      </c>
      <c r="B79" s="3" t="s">
        <v>38</v>
      </c>
      <c r="C79" s="3" t="str">
        <f t="shared" si="3"/>
        <v>Mar</v>
      </c>
      <c r="D79" s="3">
        <v>45</v>
      </c>
      <c r="E79" s="3" t="str">
        <f t="shared" si="4"/>
        <v>adult</v>
      </c>
      <c r="F79" s="3" t="s">
        <v>25</v>
      </c>
      <c r="G79" s="3" t="s">
        <v>26</v>
      </c>
      <c r="H79" s="3">
        <v>1241.46</v>
      </c>
      <c r="I79" s="3">
        <v>5</v>
      </c>
      <c r="J79" s="3">
        <f t="shared" si="5"/>
        <v>6207.3</v>
      </c>
      <c r="K79" s="3" t="s">
        <v>22</v>
      </c>
      <c r="L79" s="3">
        <v>6</v>
      </c>
      <c r="M79" s="3">
        <v>5</v>
      </c>
      <c r="N79" s="3" t="s">
        <v>542</v>
      </c>
      <c r="O79" s="3" t="s">
        <v>545</v>
      </c>
      <c r="P79" s="3" t="s">
        <v>544</v>
      </c>
      <c r="Q79" s="3">
        <v>0.12</v>
      </c>
      <c r="R79" s="3">
        <v>240000</v>
      </c>
      <c r="S79" s="3">
        <v>31</v>
      </c>
      <c r="T79" s="3">
        <v>14</v>
      </c>
      <c r="U79" s="3">
        <v>30</v>
      </c>
    </row>
    <row r="80" spans="1:21" x14ac:dyDescent="0.25">
      <c r="A80" s="3" t="s">
        <v>180</v>
      </c>
      <c r="B80" s="3" t="s">
        <v>181</v>
      </c>
      <c r="C80" s="3" t="str">
        <f t="shared" si="3"/>
        <v>Jul</v>
      </c>
      <c r="D80" s="3">
        <v>26</v>
      </c>
      <c r="E80" s="3" t="str">
        <f t="shared" si="4"/>
        <v>adult</v>
      </c>
      <c r="F80" s="3" t="s">
        <v>34</v>
      </c>
      <c r="G80" s="3" t="s">
        <v>51</v>
      </c>
      <c r="H80" s="3">
        <v>3999.22</v>
      </c>
      <c r="I80" s="3">
        <v>5</v>
      </c>
      <c r="J80" s="3">
        <f t="shared" si="5"/>
        <v>19996.099999999999</v>
      </c>
      <c r="K80" s="3" t="s">
        <v>22</v>
      </c>
      <c r="L80" s="3">
        <v>3</v>
      </c>
      <c r="M80" s="3">
        <v>3</v>
      </c>
      <c r="N80" s="3" t="s">
        <v>546</v>
      </c>
      <c r="O80" s="3" t="s">
        <v>552</v>
      </c>
      <c r="P80" s="3" t="s">
        <v>544</v>
      </c>
      <c r="Q80" s="3">
        <v>0.14000000000000001</v>
      </c>
      <c r="R80" s="3">
        <v>300000</v>
      </c>
      <c r="S80" s="3">
        <v>31</v>
      </c>
      <c r="T80" s="3">
        <v>12</v>
      </c>
      <c r="U80" s="3">
        <v>70</v>
      </c>
    </row>
    <row r="81" spans="1:21" x14ac:dyDescent="0.25">
      <c r="A81" s="3" t="s">
        <v>182</v>
      </c>
      <c r="B81" s="3" t="s">
        <v>133</v>
      </c>
      <c r="C81" s="3" t="str">
        <f t="shared" si="3"/>
        <v>Sep</v>
      </c>
      <c r="D81" s="3">
        <v>41</v>
      </c>
      <c r="E81" s="3" t="str">
        <f t="shared" si="4"/>
        <v>adult</v>
      </c>
      <c r="F81" s="3" t="s">
        <v>34</v>
      </c>
      <c r="G81" s="3" t="s">
        <v>35</v>
      </c>
      <c r="H81" s="3">
        <v>4477.59</v>
      </c>
      <c r="I81" s="3">
        <v>3</v>
      </c>
      <c r="J81" s="3">
        <f t="shared" si="5"/>
        <v>13432.77</v>
      </c>
      <c r="K81" s="3" t="s">
        <v>22</v>
      </c>
      <c r="L81" s="3">
        <v>8</v>
      </c>
      <c r="M81" s="3">
        <v>1</v>
      </c>
      <c r="N81" s="3" t="s">
        <v>546</v>
      </c>
      <c r="O81" s="3" t="s">
        <v>549</v>
      </c>
      <c r="P81" s="3" t="s">
        <v>544</v>
      </c>
      <c r="Q81" s="3">
        <v>0.18</v>
      </c>
      <c r="R81" s="3">
        <v>450000</v>
      </c>
      <c r="S81" s="3">
        <v>31</v>
      </c>
      <c r="T81" s="3">
        <v>15</v>
      </c>
      <c r="U81" s="3">
        <v>50</v>
      </c>
    </row>
    <row r="82" spans="1:21" x14ac:dyDescent="0.25">
      <c r="A82" s="3" t="s">
        <v>183</v>
      </c>
      <c r="B82" s="3" t="s">
        <v>184</v>
      </c>
      <c r="C82" s="3" t="str">
        <f t="shared" si="3"/>
        <v>Apr</v>
      </c>
      <c r="D82" s="3">
        <v>23</v>
      </c>
      <c r="E82" s="3" t="str">
        <f t="shared" si="4"/>
        <v>adult</v>
      </c>
      <c r="F82" s="3" t="s">
        <v>20</v>
      </c>
      <c r="G82" s="3" t="s">
        <v>51</v>
      </c>
      <c r="H82" s="3">
        <v>1310.77</v>
      </c>
      <c r="I82" s="3">
        <v>4</v>
      </c>
      <c r="J82" s="3">
        <f t="shared" si="5"/>
        <v>5243.08</v>
      </c>
      <c r="K82" s="3" t="s">
        <v>39</v>
      </c>
      <c r="L82" s="3">
        <v>6</v>
      </c>
      <c r="M82" s="3">
        <v>1</v>
      </c>
      <c r="N82" s="3" t="s">
        <v>546</v>
      </c>
      <c r="O82" s="3" t="s">
        <v>552</v>
      </c>
      <c r="P82" s="3" t="s">
        <v>39</v>
      </c>
      <c r="Q82" s="3">
        <v>0.14000000000000001</v>
      </c>
      <c r="R82" s="3">
        <v>300000</v>
      </c>
      <c r="S82" s="3">
        <v>50</v>
      </c>
      <c r="T82" s="3">
        <v>12</v>
      </c>
      <c r="U82" s="3">
        <v>70</v>
      </c>
    </row>
    <row r="83" spans="1:21" x14ac:dyDescent="0.25">
      <c r="A83" s="3" t="s">
        <v>185</v>
      </c>
      <c r="B83" s="3" t="s">
        <v>186</v>
      </c>
      <c r="C83" s="3" t="str">
        <f t="shared" si="3"/>
        <v>May</v>
      </c>
      <c r="D83" s="3">
        <v>54</v>
      </c>
      <c r="E83" s="3" t="str">
        <f t="shared" si="4"/>
        <v>senior</v>
      </c>
      <c r="F83" s="3" t="s">
        <v>20</v>
      </c>
      <c r="G83" s="3" t="s">
        <v>51</v>
      </c>
      <c r="H83" s="3">
        <v>4593.43</v>
      </c>
      <c r="I83" s="3">
        <v>3</v>
      </c>
      <c r="J83" s="3">
        <f t="shared" si="5"/>
        <v>13780.29</v>
      </c>
      <c r="K83" s="3" t="s">
        <v>39</v>
      </c>
      <c r="L83" s="3">
        <v>10</v>
      </c>
      <c r="M83" s="3">
        <v>1</v>
      </c>
      <c r="N83" s="3" t="s">
        <v>546</v>
      </c>
      <c r="O83" s="3" t="s">
        <v>552</v>
      </c>
      <c r="P83" s="3" t="s">
        <v>39</v>
      </c>
      <c r="Q83" s="3">
        <v>0.14000000000000001</v>
      </c>
      <c r="R83" s="3">
        <v>300000</v>
      </c>
      <c r="S83" s="3">
        <v>50</v>
      </c>
      <c r="T83" s="3">
        <v>12</v>
      </c>
      <c r="U83" s="3">
        <v>70</v>
      </c>
    </row>
    <row r="84" spans="1:21" x14ac:dyDescent="0.25">
      <c r="A84" s="3" t="s">
        <v>187</v>
      </c>
      <c r="B84" s="3" t="s">
        <v>188</v>
      </c>
      <c r="C84" s="3" t="str">
        <f t="shared" si="3"/>
        <v>Jun</v>
      </c>
      <c r="D84" s="3">
        <v>43</v>
      </c>
      <c r="E84" s="3" t="str">
        <f t="shared" si="4"/>
        <v>adult</v>
      </c>
      <c r="F84" s="3" t="s">
        <v>25</v>
      </c>
      <c r="G84" s="3" t="s">
        <v>35</v>
      </c>
      <c r="H84" s="3">
        <v>939.16</v>
      </c>
      <c r="I84" s="3">
        <v>2</v>
      </c>
      <c r="J84" s="3">
        <f t="shared" si="5"/>
        <v>1878.32</v>
      </c>
      <c r="K84" s="3" t="s">
        <v>39</v>
      </c>
      <c r="L84" s="3">
        <v>10</v>
      </c>
      <c r="M84" s="3">
        <v>5</v>
      </c>
      <c r="N84" s="3" t="s">
        <v>546</v>
      </c>
      <c r="O84" s="3" t="s">
        <v>549</v>
      </c>
      <c r="P84" s="3" t="s">
        <v>39</v>
      </c>
      <c r="Q84" s="3">
        <v>0.18</v>
      </c>
      <c r="R84" s="3">
        <v>450000</v>
      </c>
      <c r="S84" s="3">
        <v>50</v>
      </c>
      <c r="T84" s="3">
        <v>15</v>
      </c>
      <c r="U84" s="3">
        <v>50</v>
      </c>
    </row>
    <row r="85" spans="1:21" x14ac:dyDescent="0.25">
      <c r="A85" s="3" t="s">
        <v>189</v>
      </c>
      <c r="B85" s="3" t="s">
        <v>113</v>
      </c>
      <c r="C85" s="3" t="str">
        <f t="shared" si="3"/>
        <v>Oct</v>
      </c>
      <c r="D85" s="3">
        <v>39</v>
      </c>
      <c r="E85" s="3" t="str">
        <f t="shared" si="4"/>
        <v>adult</v>
      </c>
      <c r="F85" s="3" t="s">
        <v>45</v>
      </c>
      <c r="G85" s="3" t="s">
        <v>51</v>
      </c>
      <c r="H85" s="3">
        <v>1245.73</v>
      </c>
      <c r="I85" s="3">
        <v>3</v>
      </c>
      <c r="J85" s="3">
        <f t="shared" si="5"/>
        <v>3737.19</v>
      </c>
      <c r="K85" s="3" t="s">
        <v>31</v>
      </c>
      <c r="L85" s="3">
        <v>8</v>
      </c>
      <c r="M85" s="3">
        <v>2</v>
      </c>
      <c r="N85" s="3" t="s">
        <v>546</v>
      </c>
      <c r="O85" s="3" t="s">
        <v>552</v>
      </c>
      <c r="P85" s="3" t="s">
        <v>548</v>
      </c>
      <c r="Q85" s="3">
        <v>0.14000000000000001</v>
      </c>
      <c r="R85" s="3">
        <v>300000</v>
      </c>
      <c r="S85" s="3">
        <v>50</v>
      </c>
      <c r="T85" s="3">
        <v>12</v>
      </c>
      <c r="U85" s="3">
        <v>70</v>
      </c>
    </row>
    <row r="86" spans="1:21" x14ac:dyDescent="0.25">
      <c r="A86" s="3" t="s">
        <v>190</v>
      </c>
      <c r="B86" s="3" t="s">
        <v>70</v>
      </c>
      <c r="C86" s="3" t="str">
        <f t="shared" si="3"/>
        <v>Mar</v>
      </c>
      <c r="D86" s="3">
        <v>19</v>
      </c>
      <c r="E86" s="3" t="str">
        <f t="shared" si="4"/>
        <v>teenager</v>
      </c>
      <c r="F86" s="3" t="s">
        <v>45</v>
      </c>
      <c r="G86" s="3" t="s">
        <v>26</v>
      </c>
      <c r="H86" s="3">
        <v>1089.02</v>
      </c>
      <c r="I86" s="3">
        <v>4</v>
      </c>
      <c r="J86" s="3">
        <f t="shared" si="5"/>
        <v>4356.08</v>
      </c>
      <c r="K86" s="3" t="s">
        <v>22</v>
      </c>
      <c r="L86" s="3">
        <v>4</v>
      </c>
      <c r="M86" s="3">
        <v>4</v>
      </c>
      <c r="N86" s="3" t="s">
        <v>542</v>
      </c>
      <c r="O86" s="3" t="s">
        <v>545</v>
      </c>
      <c r="P86" s="3" t="s">
        <v>544</v>
      </c>
      <c r="Q86" s="3">
        <v>0.12</v>
      </c>
      <c r="R86" s="3">
        <v>240000</v>
      </c>
      <c r="S86" s="3">
        <v>31</v>
      </c>
      <c r="T86" s="3">
        <v>14</v>
      </c>
      <c r="U86" s="3">
        <v>30</v>
      </c>
    </row>
    <row r="87" spans="1:21" x14ac:dyDescent="0.25">
      <c r="A87" s="3" t="s">
        <v>191</v>
      </c>
      <c r="B87" s="3" t="s">
        <v>192</v>
      </c>
      <c r="C87" s="3" t="str">
        <f t="shared" si="3"/>
        <v>Nov</v>
      </c>
      <c r="D87" s="3">
        <v>21</v>
      </c>
      <c r="E87" s="3" t="str">
        <f t="shared" si="4"/>
        <v>adult</v>
      </c>
      <c r="F87" s="3" t="s">
        <v>54</v>
      </c>
      <c r="G87" s="3" t="s">
        <v>35</v>
      </c>
      <c r="H87" s="3">
        <v>761.99</v>
      </c>
      <c r="I87" s="3">
        <v>3</v>
      </c>
      <c r="J87" s="3">
        <f t="shared" si="5"/>
        <v>2285.9700000000003</v>
      </c>
      <c r="K87" s="3" t="s">
        <v>31</v>
      </c>
      <c r="L87" s="3">
        <v>10</v>
      </c>
      <c r="M87" s="3">
        <v>1</v>
      </c>
      <c r="N87" s="3" t="s">
        <v>546</v>
      </c>
      <c r="O87" s="3" t="s">
        <v>549</v>
      </c>
      <c r="P87" s="3" t="s">
        <v>548</v>
      </c>
      <c r="Q87" s="3">
        <v>0.18</v>
      </c>
      <c r="R87" s="3">
        <v>450000</v>
      </c>
      <c r="S87" s="3">
        <v>50</v>
      </c>
      <c r="T87" s="3">
        <v>15</v>
      </c>
      <c r="U87" s="3">
        <v>50</v>
      </c>
    </row>
    <row r="88" spans="1:21" x14ac:dyDescent="0.25">
      <c r="A88" s="3" t="s">
        <v>193</v>
      </c>
      <c r="B88" s="3" t="s">
        <v>194</v>
      </c>
      <c r="C88" s="3" t="str">
        <f t="shared" si="3"/>
        <v>Jul</v>
      </c>
      <c r="D88" s="3">
        <v>32</v>
      </c>
      <c r="E88" s="3" t="str">
        <f t="shared" si="4"/>
        <v>adult</v>
      </c>
      <c r="F88" s="3" t="s">
        <v>54</v>
      </c>
      <c r="G88" s="3" t="s">
        <v>51</v>
      </c>
      <c r="H88" s="3">
        <v>930.66</v>
      </c>
      <c r="I88" s="3">
        <v>5</v>
      </c>
      <c r="J88" s="3">
        <f t="shared" si="5"/>
        <v>4653.3</v>
      </c>
      <c r="K88" s="3" t="s">
        <v>42</v>
      </c>
      <c r="L88" s="3">
        <v>7</v>
      </c>
      <c r="M88" s="3">
        <v>5</v>
      </c>
      <c r="N88" s="3" t="s">
        <v>542</v>
      </c>
      <c r="O88" s="3" t="s">
        <v>552</v>
      </c>
      <c r="P88" s="3" t="s">
        <v>550</v>
      </c>
      <c r="Q88" s="3">
        <v>0.14000000000000001</v>
      </c>
      <c r="R88" s="3">
        <v>300000</v>
      </c>
      <c r="S88" s="3">
        <v>90</v>
      </c>
      <c r="T88" s="3">
        <v>12</v>
      </c>
      <c r="U88" s="3">
        <v>70</v>
      </c>
    </row>
    <row r="89" spans="1:21" x14ac:dyDescent="0.25">
      <c r="A89" s="3" t="s">
        <v>195</v>
      </c>
      <c r="B89" s="3" t="s">
        <v>196</v>
      </c>
      <c r="C89" s="3" t="str">
        <f t="shared" si="3"/>
        <v>Jul</v>
      </c>
      <c r="D89" s="3">
        <v>35</v>
      </c>
      <c r="E89" s="3" t="str">
        <f t="shared" si="4"/>
        <v>adult</v>
      </c>
      <c r="F89" s="3" t="s">
        <v>54</v>
      </c>
      <c r="G89" s="3" t="s">
        <v>21</v>
      </c>
      <c r="H89" s="3">
        <v>697.77</v>
      </c>
      <c r="I89" s="3">
        <v>2</v>
      </c>
      <c r="J89" s="3">
        <f t="shared" si="5"/>
        <v>1395.54</v>
      </c>
      <c r="K89" s="3" t="s">
        <v>31</v>
      </c>
      <c r="L89" s="3">
        <v>9</v>
      </c>
      <c r="M89" s="3">
        <v>4</v>
      </c>
      <c r="N89" s="3" t="s">
        <v>546</v>
      </c>
      <c r="O89" s="3" t="s">
        <v>543</v>
      </c>
      <c r="P89" s="3" t="s">
        <v>548</v>
      </c>
      <c r="Q89" s="3">
        <v>0.1</v>
      </c>
      <c r="R89" s="3">
        <v>560000</v>
      </c>
      <c r="S89" s="3">
        <v>50</v>
      </c>
      <c r="T89" s="3">
        <v>13</v>
      </c>
      <c r="U89" s="3">
        <v>60</v>
      </c>
    </row>
    <row r="90" spans="1:21" x14ac:dyDescent="0.25">
      <c r="A90" s="3" t="s">
        <v>197</v>
      </c>
      <c r="B90" s="3" t="s">
        <v>168</v>
      </c>
      <c r="C90" s="3" t="str">
        <f t="shared" si="3"/>
        <v>Nov</v>
      </c>
      <c r="D90" s="3">
        <v>56</v>
      </c>
      <c r="E90" s="3" t="str">
        <f t="shared" si="4"/>
        <v>senior</v>
      </c>
      <c r="F90" s="3" t="s">
        <v>20</v>
      </c>
      <c r="G90" s="3" t="s">
        <v>35</v>
      </c>
      <c r="H90" s="3">
        <v>563.03</v>
      </c>
      <c r="I90" s="3">
        <v>1</v>
      </c>
      <c r="J90" s="3">
        <f t="shared" si="5"/>
        <v>563.03</v>
      </c>
      <c r="K90" s="3" t="s">
        <v>39</v>
      </c>
      <c r="L90" s="3">
        <v>2</v>
      </c>
      <c r="M90" s="3">
        <v>5</v>
      </c>
      <c r="N90" s="3" t="s">
        <v>546</v>
      </c>
      <c r="O90" s="3" t="s">
        <v>549</v>
      </c>
      <c r="P90" s="3" t="s">
        <v>39</v>
      </c>
      <c r="Q90" s="3">
        <v>0.18</v>
      </c>
      <c r="R90" s="3">
        <v>450000</v>
      </c>
      <c r="S90" s="3">
        <v>50</v>
      </c>
      <c r="T90" s="3">
        <v>15</v>
      </c>
      <c r="U90" s="3">
        <v>50</v>
      </c>
    </row>
    <row r="91" spans="1:21" x14ac:dyDescent="0.25">
      <c r="A91" s="3" t="s">
        <v>198</v>
      </c>
      <c r="B91" s="3" t="s">
        <v>103</v>
      </c>
      <c r="C91" s="3" t="str">
        <f t="shared" si="3"/>
        <v>Jun</v>
      </c>
      <c r="D91" s="3">
        <v>42</v>
      </c>
      <c r="E91" s="3" t="str">
        <f t="shared" si="4"/>
        <v>adult</v>
      </c>
      <c r="F91" s="3" t="s">
        <v>34</v>
      </c>
      <c r="G91" s="3" t="s">
        <v>51</v>
      </c>
      <c r="H91" s="3">
        <v>4394.08</v>
      </c>
      <c r="I91" s="3">
        <v>2</v>
      </c>
      <c r="J91" s="3">
        <f t="shared" si="5"/>
        <v>8788.16</v>
      </c>
      <c r="K91" s="3" t="s">
        <v>31</v>
      </c>
      <c r="L91" s="3">
        <v>8</v>
      </c>
      <c r="M91" s="3">
        <v>1</v>
      </c>
      <c r="N91" s="3" t="s">
        <v>546</v>
      </c>
      <c r="O91" s="3" t="s">
        <v>552</v>
      </c>
      <c r="P91" s="3" t="s">
        <v>548</v>
      </c>
      <c r="Q91" s="3">
        <v>0.14000000000000001</v>
      </c>
      <c r="R91" s="3">
        <v>300000</v>
      </c>
      <c r="S91" s="3">
        <v>50</v>
      </c>
      <c r="T91" s="3">
        <v>12</v>
      </c>
      <c r="U91" s="3">
        <v>70</v>
      </c>
    </row>
    <row r="92" spans="1:21" x14ac:dyDescent="0.25">
      <c r="A92" s="3" t="s">
        <v>199</v>
      </c>
      <c r="B92" s="3" t="s">
        <v>200</v>
      </c>
      <c r="C92" s="3" t="str">
        <f t="shared" si="3"/>
        <v>Dec</v>
      </c>
      <c r="D92" s="3">
        <v>26</v>
      </c>
      <c r="E92" s="3" t="str">
        <f t="shared" si="4"/>
        <v>adult</v>
      </c>
      <c r="F92" s="3" t="s">
        <v>20</v>
      </c>
      <c r="G92" s="3" t="s">
        <v>48</v>
      </c>
      <c r="H92" s="3">
        <v>2288.6799999999998</v>
      </c>
      <c r="I92" s="3">
        <v>5</v>
      </c>
      <c r="J92" s="3">
        <f t="shared" si="5"/>
        <v>11443.4</v>
      </c>
      <c r="K92" s="3" t="s">
        <v>22</v>
      </c>
      <c r="L92" s="3">
        <v>9</v>
      </c>
      <c r="M92" s="3">
        <v>1</v>
      </c>
      <c r="N92" s="3" t="s">
        <v>546</v>
      </c>
      <c r="O92" s="3" t="s">
        <v>551</v>
      </c>
      <c r="P92" s="3" t="s">
        <v>544</v>
      </c>
      <c r="Q92" s="3">
        <v>0.05</v>
      </c>
      <c r="R92" s="3">
        <v>400000</v>
      </c>
      <c r="S92" s="3">
        <v>31</v>
      </c>
      <c r="T92" s="3">
        <v>7</v>
      </c>
      <c r="U92" s="3">
        <v>40</v>
      </c>
    </row>
    <row r="93" spans="1:21" x14ac:dyDescent="0.25">
      <c r="A93" s="3" t="s">
        <v>201</v>
      </c>
      <c r="B93" s="3" t="s">
        <v>202</v>
      </c>
      <c r="C93" s="3" t="str">
        <f t="shared" si="3"/>
        <v>Jan</v>
      </c>
      <c r="D93" s="3">
        <v>54</v>
      </c>
      <c r="E93" s="3" t="str">
        <f t="shared" si="4"/>
        <v>senior</v>
      </c>
      <c r="F93" s="3" t="s">
        <v>29</v>
      </c>
      <c r="G93" s="3" t="s">
        <v>51</v>
      </c>
      <c r="H93" s="3">
        <v>467.31</v>
      </c>
      <c r="I93" s="3">
        <v>3</v>
      </c>
      <c r="J93" s="3">
        <f t="shared" si="5"/>
        <v>1401.93</v>
      </c>
      <c r="K93" s="3" t="s">
        <v>42</v>
      </c>
      <c r="L93" s="3">
        <v>9</v>
      </c>
      <c r="M93" s="3">
        <v>1</v>
      </c>
      <c r="N93" s="3" t="s">
        <v>546</v>
      </c>
      <c r="O93" s="3" t="s">
        <v>552</v>
      </c>
      <c r="P93" s="3" t="s">
        <v>550</v>
      </c>
      <c r="Q93" s="3">
        <v>0.14000000000000001</v>
      </c>
      <c r="R93" s="3">
        <v>300000</v>
      </c>
      <c r="S93" s="3">
        <v>90</v>
      </c>
      <c r="T93" s="3">
        <v>12</v>
      </c>
      <c r="U93" s="3">
        <v>70</v>
      </c>
    </row>
    <row r="94" spans="1:21" x14ac:dyDescent="0.25">
      <c r="A94" s="3" t="s">
        <v>203</v>
      </c>
      <c r="B94" s="3" t="s">
        <v>204</v>
      </c>
      <c r="C94" s="3" t="str">
        <f t="shared" si="3"/>
        <v>Oct</v>
      </c>
      <c r="D94" s="3">
        <v>48</v>
      </c>
      <c r="E94" s="3" t="str">
        <f t="shared" si="4"/>
        <v>adult</v>
      </c>
      <c r="F94" s="3" t="s">
        <v>20</v>
      </c>
      <c r="G94" s="3" t="s">
        <v>35</v>
      </c>
      <c r="H94" s="3">
        <v>1128.29</v>
      </c>
      <c r="I94" s="3">
        <v>5</v>
      </c>
      <c r="J94" s="3">
        <f t="shared" si="5"/>
        <v>5641.45</v>
      </c>
      <c r="K94" s="3" t="s">
        <v>22</v>
      </c>
      <c r="L94" s="3">
        <v>4</v>
      </c>
      <c r="M94" s="3">
        <v>5</v>
      </c>
      <c r="N94" s="3" t="s">
        <v>542</v>
      </c>
      <c r="O94" s="3" t="s">
        <v>549</v>
      </c>
      <c r="P94" s="3" t="s">
        <v>544</v>
      </c>
      <c r="Q94" s="3">
        <v>0.18</v>
      </c>
      <c r="R94" s="3">
        <v>450000</v>
      </c>
      <c r="S94" s="3">
        <v>31</v>
      </c>
      <c r="T94" s="3">
        <v>15</v>
      </c>
      <c r="U94" s="3">
        <v>50</v>
      </c>
    </row>
    <row r="95" spans="1:21" x14ac:dyDescent="0.25">
      <c r="A95" s="3" t="s">
        <v>205</v>
      </c>
      <c r="B95" s="3" t="s">
        <v>162</v>
      </c>
      <c r="C95" s="3" t="str">
        <f t="shared" si="3"/>
        <v>Oct</v>
      </c>
      <c r="D95" s="3">
        <v>46</v>
      </c>
      <c r="E95" s="3" t="str">
        <f t="shared" si="4"/>
        <v>adult</v>
      </c>
      <c r="F95" s="3" t="s">
        <v>34</v>
      </c>
      <c r="G95" s="3" t="s">
        <v>30</v>
      </c>
      <c r="H95" s="3">
        <v>2779.02</v>
      </c>
      <c r="I95" s="3">
        <v>5</v>
      </c>
      <c r="J95" s="3">
        <f t="shared" si="5"/>
        <v>13895.1</v>
      </c>
      <c r="K95" s="3" t="s">
        <v>22</v>
      </c>
      <c r="L95" s="3">
        <v>3</v>
      </c>
      <c r="M95" s="3">
        <v>2</v>
      </c>
      <c r="N95" s="3" t="s">
        <v>546</v>
      </c>
      <c r="O95" s="3" t="s">
        <v>547</v>
      </c>
      <c r="P95" s="3" t="s">
        <v>544</v>
      </c>
      <c r="Q95" s="3">
        <v>0.12</v>
      </c>
      <c r="R95" s="3">
        <v>350000</v>
      </c>
      <c r="S95" s="3">
        <v>31</v>
      </c>
      <c r="T95" s="3">
        <v>12</v>
      </c>
      <c r="U95" s="3">
        <v>100</v>
      </c>
    </row>
    <row r="96" spans="1:21" x14ac:dyDescent="0.25">
      <c r="A96" s="3" t="s">
        <v>206</v>
      </c>
      <c r="B96" s="3" t="s">
        <v>82</v>
      </c>
      <c r="C96" s="3" t="str">
        <f t="shared" si="3"/>
        <v>Jul</v>
      </c>
      <c r="D96" s="3">
        <v>58</v>
      </c>
      <c r="E96" s="3" t="str">
        <f t="shared" si="4"/>
        <v>senior</v>
      </c>
      <c r="F96" s="3" t="s">
        <v>54</v>
      </c>
      <c r="G96" s="3" t="s">
        <v>35</v>
      </c>
      <c r="H96" s="3">
        <v>223.55</v>
      </c>
      <c r="I96" s="3">
        <v>3</v>
      </c>
      <c r="J96" s="3">
        <f t="shared" si="5"/>
        <v>670.65000000000009</v>
      </c>
      <c r="K96" s="3" t="s">
        <v>39</v>
      </c>
      <c r="L96" s="3">
        <v>4</v>
      </c>
      <c r="M96" s="3">
        <v>4</v>
      </c>
      <c r="N96" s="3" t="s">
        <v>542</v>
      </c>
      <c r="O96" s="3" t="s">
        <v>549</v>
      </c>
      <c r="P96" s="3" t="s">
        <v>39</v>
      </c>
      <c r="Q96" s="3">
        <v>0.18</v>
      </c>
      <c r="R96" s="3">
        <v>450000</v>
      </c>
      <c r="S96" s="3">
        <v>50</v>
      </c>
      <c r="T96" s="3">
        <v>15</v>
      </c>
      <c r="U96" s="3">
        <v>50</v>
      </c>
    </row>
    <row r="97" spans="1:21" x14ac:dyDescent="0.25">
      <c r="A97" s="3" t="s">
        <v>207</v>
      </c>
      <c r="B97" s="3" t="s">
        <v>208</v>
      </c>
      <c r="C97" s="3" t="str">
        <f t="shared" si="3"/>
        <v>Mar</v>
      </c>
      <c r="D97" s="3">
        <v>56</v>
      </c>
      <c r="E97" s="3" t="str">
        <f t="shared" si="4"/>
        <v>senior</v>
      </c>
      <c r="F97" s="3" t="s">
        <v>34</v>
      </c>
      <c r="G97" s="3" t="s">
        <v>48</v>
      </c>
      <c r="H97" s="3">
        <v>3205.44</v>
      </c>
      <c r="I97" s="3">
        <v>2</v>
      </c>
      <c r="J97" s="3">
        <f t="shared" si="5"/>
        <v>6410.88</v>
      </c>
      <c r="K97" s="3" t="s">
        <v>22</v>
      </c>
      <c r="L97" s="3">
        <v>3</v>
      </c>
      <c r="M97" s="3">
        <v>4</v>
      </c>
      <c r="N97" s="3" t="s">
        <v>546</v>
      </c>
      <c r="O97" s="3" t="s">
        <v>551</v>
      </c>
      <c r="P97" s="3" t="s">
        <v>544</v>
      </c>
      <c r="Q97" s="3">
        <v>0.05</v>
      </c>
      <c r="R97" s="3">
        <v>400000</v>
      </c>
      <c r="S97" s="3">
        <v>31</v>
      </c>
      <c r="T97" s="3">
        <v>7</v>
      </c>
      <c r="U97" s="3">
        <v>40</v>
      </c>
    </row>
    <row r="98" spans="1:21" x14ac:dyDescent="0.25">
      <c r="A98" s="3" t="s">
        <v>209</v>
      </c>
      <c r="B98" s="3" t="s">
        <v>210</v>
      </c>
      <c r="C98" s="3" t="str">
        <f t="shared" si="3"/>
        <v>Jul</v>
      </c>
      <c r="D98" s="3">
        <v>22</v>
      </c>
      <c r="E98" s="3" t="str">
        <f t="shared" si="4"/>
        <v>adult</v>
      </c>
      <c r="F98" s="3" t="s">
        <v>20</v>
      </c>
      <c r="G98" s="3" t="s">
        <v>51</v>
      </c>
      <c r="H98" s="3">
        <v>2519.0500000000002</v>
      </c>
      <c r="I98" s="3">
        <v>3</v>
      </c>
      <c r="J98" s="3">
        <f t="shared" si="5"/>
        <v>7557.1500000000005</v>
      </c>
      <c r="K98" s="3" t="s">
        <v>39</v>
      </c>
      <c r="L98" s="3">
        <v>6</v>
      </c>
      <c r="M98" s="3">
        <v>3</v>
      </c>
      <c r="N98" s="3" t="s">
        <v>546</v>
      </c>
      <c r="O98" s="3" t="s">
        <v>552</v>
      </c>
      <c r="P98" s="3" t="s">
        <v>39</v>
      </c>
      <c r="Q98" s="3">
        <v>0.14000000000000001</v>
      </c>
      <c r="R98" s="3">
        <v>300000</v>
      </c>
      <c r="S98" s="3">
        <v>50</v>
      </c>
      <c r="T98" s="3">
        <v>12</v>
      </c>
      <c r="U98" s="3">
        <v>70</v>
      </c>
    </row>
    <row r="99" spans="1:21" x14ac:dyDescent="0.25">
      <c r="A99" s="3" t="s">
        <v>211</v>
      </c>
      <c r="B99" s="3" t="s">
        <v>24</v>
      </c>
      <c r="C99" s="3" t="str">
        <f t="shared" si="3"/>
        <v>Jan</v>
      </c>
      <c r="D99" s="3">
        <v>39</v>
      </c>
      <c r="E99" s="3" t="str">
        <f t="shared" si="4"/>
        <v>adult</v>
      </c>
      <c r="F99" s="3" t="s">
        <v>54</v>
      </c>
      <c r="G99" s="3" t="s">
        <v>26</v>
      </c>
      <c r="H99" s="3">
        <v>3993.68</v>
      </c>
      <c r="I99" s="3">
        <v>5</v>
      </c>
      <c r="J99" s="3">
        <f t="shared" si="5"/>
        <v>19968.399999999998</v>
      </c>
      <c r="K99" s="3" t="s">
        <v>39</v>
      </c>
      <c r="L99" s="3">
        <v>7</v>
      </c>
      <c r="M99" s="3">
        <v>5</v>
      </c>
      <c r="N99" s="3" t="s">
        <v>542</v>
      </c>
      <c r="O99" s="3" t="s">
        <v>545</v>
      </c>
      <c r="P99" s="3" t="s">
        <v>39</v>
      </c>
      <c r="Q99" s="3">
        <v>0.12</v>
      </c>
      <c r="R99" s="3">
        <v>240000</v>
      </c>
      <c r="S99" s="3">
        <v>50</v>
      </c>
      <c r="T99" s="3">
        <v>14</v>
      </c>
      <c r="U99" s="3">
        <v>30</v>
      </c>
    </row>
    <row r="100" spans="1:21" x14ac:dyDescent="0.25">
      <c r="A100" s="3" t="s">
        <v>212</v>
      </c>
      <c r="B100" s="3" t="s">
        <v>208</v>
      </c>
      <c r="C100" s="3" t="str">
        <f t="shared" si="3"/>
        <v>Mar</v>
      </c>
      <c r="D100" s="3">
        <v>42</v>
      </c>
      <c r="E100" s="3" t="str">
        <f t="shared" si="4"/>
        <v>adult</v>
      </c>
      <c r="F100" s="3" t="s">
        <v>34</v>
      </c>
      <c r="G100" s="3" t="s">
        <v>51</v>
      </c>
      <c r="H100" s="3">
        <v>1953.4</v>
      </c>
      <c r="I100" s="3">
        <v>2</v>
      </c>
      <c r="J100" s="3">
        <f t="shared" si="5"/>
        <v>3906.8</v>
      </c>
      <c r="K100" s="3" t="s">
        <v>42</v>
      </c>
      <c r="L100" s="3">
        <v>2</v>
      </c>
      <c r="M100" s="3">
        <v>1</v>
      </c>
      <c r="N100" s="3" t="s">
        <v>546</v>
      </c>
      <c r="O100" s="3" t="s">
        <v>552</v>
      </c>
      <c r="P100" s="3" t="s">
        <v>550</v>
      </c>
      <c r="Q100" s="3">
        <v>0.14000000000000001</v>
      </c>
      <c r="R100" s="3">
        <v>300000</v>
      </c>
      <c r="S100" s="3">
        <v>90</v>
      </c>
      <c r="T100" s="3">
        <v>12</v>
      </c>
      <c r="U100" s="3">
        <v>70</v>
      </c>
    </row>
    <row r="101" spans="1:21" x14ac:dyDescent="0.25">
      <c r="A101" s="3" t="s">
        <v>213</v>
      </c>
      <c r="B101" s="3" t="s">
        <v>214</v>
      </c>
      <c r="C101" s="3" t="str">
        <f t="shared" si="3"/>
        <v>Oct</v>
      </c>
      <c r="D101" s="3">
        <v>59</v>
      </c>
      <c r="E101" s="3" t="str">
        <f t="shared" si="4"/>
        <v>senior</v>
      </c>
      <c r="F101" s="3" t="s">
        <v>34</v>
      </c>
      <c r="G101" s="3" t="s">
        <v>21</v>
      </c>
      <c r="H101" s="3">
        <v>1076.5</v>
      </c>
      <c r="I101" s="3">
        <v>5</v>
      </c>
      <c r="J101" s="3">
        <f t="shared" si="5"/>
        <v>5382.5</v>
      </c>
      <c r="K101" s="3" t="s">
        <v>42</v>
      </c>
      <c r="L101" s="3">
        <v>5</v>
      </c>
      <c r="M101" s="3">
        <v>4</v>
      </c>
      <c r="N101" s="3" t="s">
        <v>542</v>
      </c>
      <c r="O101" s="3" t="s">
        <v>543</v>
      </c>
      <c r="P101" s="3" t="s">
        <v>550</v>
      </c>
      <c r="Q101" s="3">
        <v>0.1</v>
      </c>
      <c r="R101" s="3">
        <v>560000</v>
      </c>
      <c r="S101" s="3">
        <v>90</v>
      </c>
      <c r="T101" s="3">
        <v>13</v>
      </c>
      <c r="U101" s="3">
        <v>60</v>
      </c>
    </row>
    <row r="102" spans="1:21" x14ac:dyDescent="0.25">
      <c r="A102" s="3" t="s">
        <v>215</v>
      </c>
      <c r="B102" s="3" t="s">
        <v>216</v>
      </c>
      <c r="C102" s="3" t="str">
        <f t="shared" si="3"/>
        <v>Jun</v>
      </c>
      <c r="D102" s="3">
        <v>22</v>
      </c>
      <c r="E102" s="3" t="str">
        <f t="shared" si="4"/>
        <v>adult</v>
      </c>
      <c r="F102" s="3" t="s">
        <v>29</v>
      </c>
      <c r="G102" s="3" t="s">
        <v>48</v>
      </c>
      <c r="H102" s="3">
        <v>660.06</v>
      </c>
      <c r="I102" s="3">
        <v>4</v>
      </c>
      <c r="J102" s="3">
        <f t="shared" si="5"/>
        <v>2640.24</v>
      </c>
      <c r="K102" s="3" t="s">
        <v>36</v>
      </c>
      <c r="L102" s="3">
        <v>4</v>
      </c>
      <c r="M102" s="3">
        <v>3</v>
      </c>
      <c r="N102" s="3" t="s">
        <v>546</v>
      </c>
      <c r="O102" s="3" t="s">
        <v>551</v>
      </c>
      <c r="P102" s="3" t="s">
        <v>11</v>
      </c>
      <c r="Q102" s="3">
        <v>0.05</v>
      </c>
      <c r="R102" s="3">
        <v>400000</v>
      </c>
      <c r="S102" s="3">
        <v>80</v>
      </c>
      <c r="T102" s="3">
        <v>7</v>
      </c>
      <c r="U102" s="3">
        <v>40</v>
      </c>
    </row>
    <row r="103" spans="1:21" x14ac:dyDescent="0.25">
      <c r="A103" s="3" t="s">
        <v>217</v>
      </c>
      <c r="B103" s="3" t="s">
        <v>218</v>
      </c>
      <c r="C103" s="3" t="str">
        <f t="shared" si="3"/>
        <v>Jan</v>
      </c>
      <c r="D103" s="3">
        <v>38</v>
      </c>
      <c r="E103" s="3" t="str">
        <f t="shared" si="4"/>
        <v>adult</v>
      </c>
      <c r="F103" s="3" t="s">
        <v>29</v>
      </c>
      <c r="G103" s="3" t="s">
        <v>21</v>
      </c>
      <c r="H103" s="3">
        <v>1003.94</v>
      </c>
      <c r="I103" s="3">
        <v>4</v>
      </c>
      <c r="J103" s="3">
        <f t="shared" si="5"/>
        <v>4015.76</v>
      </c>
      <c r="K103" s="3" t="s">
        <v>31</v>
      </c>
      <c r="L103" s="3">
        <v>4</v>
      </c>
      <c r="M103" s="3">
        <v>1</v>
      </c>
      <c r="N103" s="3" t="s">
        <v>546</v>
      </c>
      <c r="O103" s="3" t="s">
        <v>543</v>
      </c>
      <c r="P103" s="3" t="s">
        <v>548</v>
      </c>
      <c r="Q103" s="3">
        <v>0.1</v>
      </c>
      <c r="R103" s="3">
        <v>560000</v>
      </c>
      <c r="S103" s="3">
        <v>50</v>
      </c>
      <c r="T103" s="3">
        <v>13</v>
      </c>
      <c r="U103" s="3">
        <v>60</v>
      </c>
    </row>
    <row r="104" spans="1:21" x14ac:dyDescent="0.25">
      <c r="A104" s="3" t="s">
        <v>219</v>
      </c>
      <c r="B104" s="3" t="s">
        <v>158</v>
      </c>
      <c r="C104" s="3" t="str">
        <f t="shared" si="3"/>
        <v>Jan</v>
      </c>
      <c r="D104" s="3">
        <v>26</v>
      </c>
      <c r="E104" s="3" t="str">
        <f t="shared" si="4"/>
        <v>adult</v>
      </c>
      <c r="F104" s="3" t="s">
        <v>29</v>
      </c>
      <c r="G104" s="3" t="s">
        <v>26</v>
      </c>
      <c r="H104" s="3">
        <v>1644.91</v>
      </c>
      <c r="I104" s="3">
        <v>4</v>
      </c>
      <c r="J104" s="3">
        <f t="shared" si="5"/>
        <v>6579.64</v>
      </c>
      <c r="K104" s="3" t="s">
        <v>36</v>
      </c>
      <c r="L104" s="3">
        <v>1</v>
      </c>
      <c r="M104" s="3">
        <v>5</v>
      </c>
      <c r="N104" s="3" t="s">
        <v>542</v>
      </c>
      <c r="O104" s="3" t="s">
        <v>545</v>
      </c>
      <c r="P104" s="3" t="s">
        <v>11</v>
      </c>
      <c r="Q104" s="3">
        <v>0.12</v>
      </c>
      <c r="R104" s="3">
        <v>240000</v>
      </c>
      <c r="S104" s="3">
        <v>80</v>
      </c>
      <c r="T104" s="3">
        <v>14</v>
      </c>
      <c r="U104" s="3">
        <v>30</v>
      </c>
    </row>
    <row r="105" spans="1:21" x14ac:dyDescent="0.25">
      <c r="A105" s="3" t="s">
        <v>220</v>
      </c>
      <c r="B105" s="3" t="s">
        <v>194</v>
      </c>
      <c r="C105" s="3" t="str">
        <f t="shared" si="3"/>
        <v>Jul</v>
      </c>
      <c r="D105" s="3">
        <v>24</v>
      </c>
      <c r="E105" s="3" t="str">
        <f t="shared" si="4"/>
        <v>adult</v>
      </c>
      <c r="F105" s="3" t="s">
        <v>29</v>
      </c>
      <c r="G105" s="3" t="s">
        <v>35</v>
      </c>
      <c r="H105" s="3">
        <v>1681.01</v>
      </c>
      <c r="I105" s="3">
        <v>2</v>
      </c>
      <c r="J105" s="3">
        <f t="shared" si="5"/>
        <v>3362.02</v>
      </c>
      <c r="K105" s="3" t="s">
        <v>31</v>
      </c>
      <c r="L105" s="3">
        <v>7</v>
      </c>
      <c r="M105" s="3">
        <v>1</v>
      </c>
      <c r="N105" s="3" t="s">
        <v>546</v>
      </c>
      <c r="O105" s="3" t="s">
        <v>549</v>
      </c>
      <c r="P105" s="3" t="s">
        <v>548</v>
      </c>
      <c r="Q105" s="3">
        <v>0.18</v>
      </c>
      <c r="R105" s="3">
        <v>450000</v>
      </c>
      <c r="S105" s="3">
        <v>50</v>
      </c>
      <c r="T105" s="3">
        <v>15</v>
      </c>
      <c r="U105" s="3">
        <v>50</v>
      </c>
    </row>
    <row r="106" spans="1:21" x14ac:dyDescent="0.25">
      <c r="A106" s="3" t="s">
        <v>221</v>
      </c>
      <c r="B106" s="3" t="s">
        <v>222</v>
      </c>
      <c r="C106" s="3" t="str">
        <f t="shared" si="3"/>
        <v>May</v>
      </c>
      <c r="D106" s="3">
        <v>27</v>
      </c>
      <c r="E106" s="3" t="str">
        <f t="shared" si="4"/>
        <v>adult</v>
      </c>
      <c r="F106" s="3" t="s">
        <v>20</v>
      </c>
      <c r="G106" s="3" t="s">
        <v>48</v>
      </c>
      <c r="H106" s="3">
        <v>4363.79</v>
      </c>
      <c r="I106" s="3">
        <v>3</v>
      </c>
      <c r="J106" s="3">
        <f t="shared" si="5"/>
        <v>13091.369999999999</v>
      </c>
      <c r="K106" s="3" t="s">
        <v>42</v>
      </c>
      <c r="L106" s="3">
        <v>6</v>
      </c>
      <c r="M106" s="3">
        <v>4</v>
      </c>
      <c r="N106" s="3" t="s">
        <v>542</v>
      </c>
      <c r="O106" s="3" t="s">
        <v>551</v>
      </c>
      <c r="P106" s="3" t="s">
        <v>550</v>
      </c>
      <c r="Q106" s="3">
        <v>0.05</v>
      </c>
      <c r="R106" s="3">
        <v>400000</v>
      </c>
      <c r="S106" s="3">
        <v>90</v>
      </c>
      <c r="T106" s="3">
        <v>7</v>
      </c>
      <c r="U106" s="3">
        <v>40</v>
      </c>
    </row>
    <row r="107" spans="1:21" x14ac:dyDescent="0.25">
      <c r="A107" s="3" t="s">
        <v>223</v>
      </c>
      <c r="B107" s="3" t="s">
        <v>224</v>
      </c>
      <c r="C107" s="3" t="str">
        <f t="shared" si="3"/>
        <v>Sep</v>
      </c>
      <c r="D107" s="3">
        <v>39</v>
      </c>
      <c r="E107" s="3" t="str">
        <f t="shared" si="4"/>
        <v>adult</v>
      </c>
      <c r="F107" s="3" t="s">
        <v>20</v>
      </c>
      <c r="G107" s="3" t="s">
        <v>21</v>
      </c>
      <c r="H107" s="3">
        <v>4280.6400000000003</v>
      </c>
      <c r="I107" s="3">
        <v>2</v>
      </c>
      <c r="J107" s="3">
        <f t="shared" si="5"/>
        <v>8561.2800000000007</v>
      </c>
      <c r="K107" s="3" t="s">
        <v>22</v>
      </c>
      <c r="L107" s="3">
        <v>10</v>
      </c>
      <c r="M107" s="3">
        <v>4</v>
      </c>
      <c r="N107" s="3" t="s">
        <v>546</v>
      </c>
      <c r="O107" s="3" t="s">
        <v>543</v>
      </c>
      <c r="P107" s="3" t="s">
        <v>544</v>
      </c>
      <c r="Q107" s="3">
        <v>0.1</v>
      </c>
      <c r="R107" s="3">
        <v>560000</v>
      </c>
      <c r="S107" s="3">
        <v>31</v>
      </c>
      <c r="T107" s="3">
        <v>13</v>
      </c>
      <c r="U107" s="3">
        <v>60</v>
      </c>
    </row>
    <row r="108" spans="1:21" x14ac:dyDescent="0.25">
      <c r="A108" s="3" t="s">
        <v>225</v>
      </c>
      <c r="B108" s="3" t="s">
        <v>226</v>
      </c>
      <c r="C108" s="3" t="str">
        <f t="shared" si="3"/>
        <v>Feb</v>
      </c>
      <c r="D108" s="3">
        <v>39</v>
      </c>
      <c r="E108" s="3" t="str">
        <f t="shared" si="4"/>
        <v>adult</v>
      </c>
      <c r="F108" s="3" t="s">
        <v>54</v>
      </c>
      <c r="G108" s="3" t="s">
        <v>51</v>
      </c>
      <c r="H108" s="3">
        <v>4309.3500000000004</v>
      </c>
      <c r="I108" s="3">
        <v>3</v>
      </c>
      <c r="J108" s="3">
        <f t="shared" si="5"/>
        <v>12928.050000000001</v>
      </c>
      <c r="K108" s="3" t="s">
        <v>36</v>
      </c>
      <c r="L108" s="3">
        <v>10</v>
      </c>
      <c r="M108" s="3">
        <v>5</v>
      </c>
      <c r="N108" s="3" t="s">
        <v>542</v>
      </c>
      <c r="O108" s="3" t="s">
        <v>552</v>
      </c>
      <c r="P108" s="3" t="s">
        <v>11</v>
      </c>
      <c r="Q108" s="3">
        <v>0.14000000000000001</v>
      </c>
      <c r="R108" s="3">
        <v>300000</v>
      </c>
      <c r="S108" s="3">
        <v>80</v>
      </c>
      <c r="T108" s="3">
        <v>12</v>
      </c>
      <c r="U108" s="3">
        <v>70</v>
      </c>
    </row>
    <row r="109" spans="1:21" x14ac:dyDescent="0.25">
      <c r="A109" s="3" t="s">
        <v>227</v>
      </c>
      <c r="B109" s="3" t="s">
        <v>228</v>
      </c>
      <c r="C109" s="3" t="str">
        <f t="shared" si="3"/>
        <v>Dec</v>
      </c>
      <c r="D109" s="3">
        <v>41</v>
      </c>
      <c r="E109" s="3" t="str">
        <f t="shared" si="4"/>
        <v>adult</v>
      </c>
      <c r="F109" s="3" t="s">
        <v>29</v>
      </c>
      <c r="G109" s="3" t="s">
        <v>26</v>
      </c>
      <c r="H109" s="3">
        <v>3254.64</v>
      </c>
      <c r="I109" s="3">
        <v>2</v>
      </c>
      <c r="J109" s="3">
        <f t="shared" si="5"/>
        <v>6509.28</v>
      </c>
      <c r="K109" s="3" t="s">
        <v>22</v>
      </c>
      <c r="L109" s="3">
        <v>10</v>
      </c>
      <c r="M109" s="3">
        <v>1</v>
      </c>
      <c r="N109" s="3" t="s">
        <v>546</v>
      </c>
      <c r="O109" s="3" t="s">
        <v>545</v>
      </c>
      <c r="P109" s="3" t="s">
        <v>544</v>
      </c>
      <c r="Q109" s="3">
        <v>0.12</v>
      </c>
      <c r="R109" s="3">
        <v>240000</v>
      </c>
      <c r="S109" s="3">
        <v>31</v>
      </c>
      <c r="T109" s="3">
        <v>14</v>
      </c>
      <c r="U109" s="3">
        <v>30</v>
      </c>
    </row>
    <row r="110" spans="1:21" x14ac:dyDescent="0.25">
      <c r="A110" s="3" t="s">
        <v>229</v>
      </c>
      <c r="B110" s="3" t="s">
        <v>177</v>
      </c>
      <c r="C110" s="3" t="str">
        <f t="shared" si="3"/>
        <v>Oct</v>
      </c>
      <c r="D110" s="3">
        <v>32</v>
      </c>
      <c r="E110" s="3" t="str">
        <f t="shared" si="4"/>
        <v>adult</v>
      </c>
      <c r="F110" s="3" t="s">
        <v>34</v>
      </c>
      <c r="G110" s="3" t="s">
        <v>30</v>
      </c>
      <c r="H110" s="3">
        <v>4801.18</v>
      </c>
      <c r="I110" s="3">
        <v>5</v>
      </c>
      <c r="J110" s="3">
        <f t="shared" si="5"/>
        <v>24005.9</v>
      </c>
      <c r="K110" s="3" t="s">
        <v>22</v>
      </c>
      <c r="L110" s="3">
        <v>2</v>
      </c>
      <c r="M110" s="3">
        <v>3</v>
      </c>
      <c r="N110" s="3" t="s">
        <v>546</v>
      </c>
      <c r="O110" s="3" t="s">
        <v>547</v>
      </c>
      <c r="P110" s="3" t="s">
        <v>544</v>
      </c>
      <c r="Q110" s="3">
        <v>0.12</v>
      </c>
      <c r="R110" s="3">
        <v>350000</v>
      </c>
      <c r="S110" s="3">
        <v>31</v>
      </c>
      <c r="T110" s="3">
        <v>12</v>
      </c>
      <c r="U110" s="3">
        <v>100</v>
      </c>
    </row>
    <row r="111" spans="1:21" x14ac:dyDescent="0.25">
      <c r="A111" s="3" t="s">
        <v>230</v>
      </c>
      <c r="B111" s="3" t="s">
        <v>231</v>
      </c>
      <c r="C111" s="3" t="str">
        <f t="shared" si="3"/>
        <v>Jul</v>
      </c>
      <c r="D111" s="3">
        <v>57</v>
      </c>
      <c r="E111" s="3" t="str">
        <f t="shared" si="4"/>
        <v>senior</v>
      </c>
      <c r="F111" s="3" t="s">
        <v>20</v>
      </c>
      <c r="G111" s="3" t="s">
        <v>21</v>
      </c>
      <c r="H111" s="3">
        <v>3086.28</v>
      </c>
      <c r="I111" s="3">
        <v>4</v>
      </c>
      <c r="J111" s="3">
        <f t="shared" si="5"/>
        <v>12345.12</v>
      </c>
      <c r="K111" s="3" t="s">
        <v>39</v>
      </c>
      <c r="L111" s="3">
        <v>4</v>
      </c>
      <c r="M111" s="3">
        <v>1</v>
      </c>
      <c r="N111" s="3" t="s">
        <v>546</v>
      </c>
      <c r="O111" s="3" t="s">
        <v>543</v>
      </c>
      <c r="P111" s="3" t="s">
        <v>39</v>
      </c>
      <c r="Q111" s="3">
        <v>0.1</v>
      </c>
      <c r="R111" s="3">
        <v>560000</v>
      </c>
      <c r="S111" s="3">
        <v>50</v>
      </c>
      <c r="T111" s="3">
        <v>13</v>
      </c>
      <c r="U111" s="3">
        <v>60</v>
      </c>
    </row>
    <row r="112" spans="1:21" x14ac:dyDescent="0.25">
      <c r="A112" s="3" t="s">
        <v>232</v>
      </c>
      <c r="B112" s="3" t="s">
        <v>233</v>
      </c>
      <c r="C112" s="3" t="str">
        <f t="shared" si="3"/>
        <v>Jan</v>
      </c>
      <c r="D112" s="3">
        <v>19</v>
      </c>
      <c r="E112" s="3" t="str">
        <f t="shared" si="4"/>
        <v>teenager</v>
      </c>
      <c r="F112" s="3" t="s">
        <v>20</v>
      </c>
      <c r="G112" s="3" t="s">
        <v>21</v>
      </c>
      <c r="H112" s="3">
        <v>2438.4699999999998</v>
      </c>
      <c r="I112" s="3">
        <v>5</v>
      </c>
      <c r="J112" s="3">
        <f t="shared" si="5"/>
        <v>12192.349999999999</v>
      </c>
      <c r="K112" s="3" t="s">
        <v>36</v>
      </c>
      <c r="L112" s="3">
        <v>7</v>
      </c>
      <c r="M112" s="3">
        <v>1</v>
      </c>
      <c r="N112" s="3" t="s">
        <v>546</v>
      </c>
      <c r="O112" s="3" t="s">
        <v>543</v>
      </c>
      <c r="P112" s="3" t="s">
        <v>11</v>
      </c>
      <c r="Q112" s="3">
        <v>0.1</v>
      </c>
      <c r="R112" s="3">
        <v>560000</v>
      </c>
      <c r="S112" s="3">
        <v>80</v>
      </c>
      <c r="T112" s="3">
        <v>13</v>
      </c>
      <c r="U112" s="3">
        <v>60</v>
      </c>
    </row>
    <row r="113" spans="1:21" x14ac:dyDescent="0.25">
      <c r="A113" s="3" t="s">
        <v>234</v>
      </c>
      <c r="B113" s="3" t="s">
        <v>235</v>
      </c>
      <c r="C113" s="3" t="str">
        <f t="shared" si="3"/>
        <v>Sep</v>
      </c>
      <c r="D113" s="3">
        <v>38</v>
      </c>
      <c r="E113" s="3" t="str">
        <f t="shared" si="4"/>
        <v>adult</v>
      </c>
      <c r="F113" s="3" t="s">
        <v>54</v>
      </c>
      <c r="G113" s="3" t="s">
        <v>51</v>
      </c>
      <c r="H113" s="3">
        <v>4165.24</v>
      </c>
      <c r="I113" s="3">
        <v>2</v>
      </c>
      <c r="J113" s="3">
        <f t="shared" si="5"/>
        <v>8330.48</v>
      </c>
      <c r="K113" s="3" t="s">
        <v>42</v>
      </c>
      <c r="L113" s="3">
        <v>9</v>
      </c>
      <c r="M113" s="3">
        <v>1</v>
      </c>
      <c r="N113" s="3" t="s">
        <v>546</v>
      </c>
      <c r="O113" s="3" t="s">
        <v>552</v>
      </c>
      <c r="P113" s="3" t="s">
        <v>550</v>
      </c>
      <c r="Q113" s="3">
        <v>0.14000000000000001</v>
      </c>
      <c r="R113" s="3">
        <v>300000</v>
      </c>
      <c r="S113" s="3">
        <v>90</v>
      </c>
      <c r="T113" s="3">
        <v>12</v>
      </c>
      <c r="U113" s="3">
        <v>70</v>
      </c>
    </row>
    <row r="114" spans="1:21" x14ac:dyDescent="0.25">
      <c r="A114" s="3" t="s">
        <v>236</v>
      </c>
      <c r="B114" s="3" t="s">
        <v>237</v>
      </c>
      <c r="C114" s="3" t="str">
        <f t="shared" si="3"/>
        <v>Aug</v>
      </c>
      <c r="D114" s="3">
        <v>40</v>
      </c>
      <c r="E114" s="3" t="str">
        <f t="shared" si="4"/>
        <v>adult</v>
      </c>
      <c r="F114" s="3" t="s">
        <v>20</v>
      </c>
      <c r="G114" s="3" t="s">
        <v>30</v>
      </c>
      <c r="H114" s="3">
        <v>3067.88</v>
      </c>
      <c r="I114" s="3">
        <v>5</v>
      </c>
      <c r="J114" s="3">
        <f t="shared" si="5"/>
        <v>15339.400000000001</v>
      </c>
      <c r="K114" s="3" t="s">
        <v>39</v>
      </c>
      <c r="L114" s="3">
        <v>5</v>
      </c>
      <c r="M114" s="3">
        <v>2</v>
      </c>
      <c r="N114" s="3" t="s">
        <v>546</v>
      </c>
      <c r="O114" s="3" t="s">
        <v>547</v>
      </c>
      <c r="P114" s="3" t="s">
        <v>39</v>
      </c>
      <c r="Q114" s="3">
        <v>0.12</v>
      </c>
      <c r="R114" s="3">
        <v>350000</v>
      </c>
      <c r="S114" s="3">
        <v>50</v>
      </c>
      <c r="T114" s="3">
        <v>12</v>
      </c>
      <c r="U114" s="3">
        <v>100</v>
      </c>
    </row>
    <row r="115" spans="1:21" x14ac:dyDescent="0.25">
      <c r="A115" s="3" t="s">
        <v>238</v>
      </c>
      <c r="B115" s="3" t="s">
        <v>239</v>
      </c>
      <c r="C115" s="3" t="str">
        <f t="shared" si="3"/>
        <v>Nov</v>
      </c>
      <c r="D115" s="3">
        <v>38</v>
      </c>
      <c r="E115" s="3" t="str">
        <f t="shared" si="4"/>
        <v>adult</v>
      </c>
      <c r="F115" s="3" t="s">
        <v>34</v>
      </c>
      <c r="G115" s="3" t="s">
        <v>26</v>
      </c>
      <c r="H115" s="3">
        <v>3293.68</v>
      </c>
      <c r="I115" s="3">
        <v>2</v>
      </c>
      <c r="J115" s="3">
        <f t="shared" si="5"/>
        <v>6587.36</v>
      </c>
      <c r="K115" s="3" t="s">
        <v>31</v>
      </c>
      <c r="L115" s="3">
        <v>6</v>
      </c>
      <c r="M115" s="3">
        <v>3</v>
      </c>
      <c r="N115" s="3" t="s">
        <v>546</v>
      </c>
      <c r="O115" s="3" t="s">
        <v>545</v>
      </c>
      <c r="P115" s="3" t="s">
        <v>548</v>
      </c>
      <c r="Q115" s="3">
        <v>0.12</v>
      </c>
      <c r="R115" s="3">
        <v>240000</v>
      </c>
      <c r="S115" s="3">
        <v>50</v>
      </c>
      <c r="T115" s="3">
        <v>14</v>
      </c>
      <c r="U115" s="3">
        <v>30</v>
      </c>
    </row>
    <row r="116" spans="1:21" x14ac:dyDescent="0.25">
      <c r="A116" s="3" t="s">
        <v>240</v>
      </c>
      <c r="B116" s="3" t="s">
        <v>241</v>
      </c>
      <c r="C116" s="3" t="str">
        <f t="shared" si="3"/>
        <v>Oct</v>
      </c>
      <c r="D116" s="3">
        <v>35</v>
      </c>
      <c r="E116" s="3" t="str">
        <f t="shared" si="4"/>
        <v>adult</v>
      </c>
      <c r="F116" s="3" t="s">
        <v>45</v>
      </c>
      <c r="G116" s="3" t="s">
        <v>30</v>
      </c>
      <c r="H116" s="3">
        <v>4325.24</v>
      </c>
      <c r="I116" s="3">
        <v>1</v>
      </c>
      <c r="J116" s="3">
        <f t="shared" si="5"/>
        <v>4325.24</v>
      </c>
      <c r="K116" s="3" t="s">
        <v>42</v>
      </c>
      <c r="L116" s="3">
        <v>5</v>
      </c>
      <c r="M116" s="3">
        <v>1</v>
      </c>
      <c r="N116" s="3" t="s">
        <v>546</v>
      </c>
      <c r="O116" s="3" t="s">
        <v>547</v>
      </c>
      <c r="P116" s="3" t="s">
        <v>550</v>
      </c>
      <c r="Q116" s="3">
        <v>0.12</v>
      </c>
      <c r="R116" s="3">
        <v>350000</v>
      </c>
      <c r="S116" s="3">
        <v>90</v>
      </c>
      <c r="T116" s="3">
        <v>12</v>
      </c>
      <c r="U116" s="3">
        <v>100</v>
      </c>
    </row>
    <row r="117" spans="1:21" x14ac:dyDescent="0.25">
      <c r="A117" s="3" t="s">
        <v>242</v>
      </c>
      <c r="B117" s="3" t="s">
        <v>243</v>
      </c>
      <c r="C117" s="3" t="str">
        <f t="shared" si="3"/>
        <v>Dec</v>
      </c>
      <c r="D117" s="3">
        <v>37</v>
      </c>
      <c r="E117" s="3" t="str">
        <f t="shared" si="4"/>
        <v>adult</v>
      </c>
      <c r="F117" s="3" t="s">
        <v>20</v>
      </c>
      <c r="G117" s="3" t="s">
        <v>26</v>
      </c>
      <c r="H117" s="3">
        <v>3155.77</v>
      </c>
      <c r="I117" s="3">
        <v>3</v>
      </c>
      <c r="J117" s="3">
        <f t="shared" si="5"/>
        <v>9467.31</v>
      </c>
      <c r="K117" s="3" t="s">
        <v>42</v>
      </c>
      <c r="L117" s="3">
        <v>10</v>
      </c>
      <c r="M117" s="3">
        <v>3</v>
      </c>
      <c r="N117" s="3" t="s">
        <v>546</v>
      </c>
      <c r="O117" s="3" t="s">
        <v>545</v>
      </c>
      <c r="P117" s="3" t="s">
        <v>550</v>
      </c>
      <c r="Q117" s="3">
        <v>0.12</v>
      </c>
      <c r="R117" s="3">
        <v>240000</v>
      </c>
      <c r="S117" s="3">
        <v>90</v>
      </c>
      <c r="T117" s="3">
        <v>14</v>
      </c>
      <c r="U117" s="3">
        <v>30</v>
      </c>
    </row>
    <row r="118" spans="1:21" x14ac:dyDescent="0.25">
      <c r="A118" s="3" t="s">
        <v>244</v>
      </c>
      <c r="B118" s="3" t="s">
        <v>245</v>
      </c>
      <c r="C118" s="3" t="str">
        <f t="shared" si="3"/>
        <v>Mar</v>
      </c>
      <c r="D118" s="3">
        <v>25</v>
      </c>
      <c r="E118" s="3" t="str">
        <f t="shared" si="4"/>
        <v>adult</v>
      </c>
      <c r="F118" s="3" t="s">
        <v>25</v>
      </c>
      <c r="G118" s="3" t="s">
        <v>26</v>
      </c>
      <c r="H118" s="3">
        <v>2858.86</v>
      </c>
      <c r="I118" s="3">
        <v>2</v>
      </c>
      <c r="J118" s="3">
        <f t="shared" si="5"/>
        <v>5717.72</v>
      </c>
      <c r="K118" s="3" t="s">
        <v>31</v>
      </c>
      <c r="L118" s="3">
        <v>8</v>
      </c>
      <c r="M118" s="3">
        <v>5</v>
      </c>
      <c r="N118" s="3" t="s">
        <v>546</v>
      </c>
      <c r="O118" s="3" t="s">
        <v>545</v>
      </c>
      <c r="P118" s="3" t="s">
        <v>548</v>
      </c>
      <c r="Q118" s="3">
        <v>0.12</v>
      </c>
      <c r="R118" s="3">
        <v>240000</v>
      </c>
      <c r="S118" s="3">
        <v>50</v>
      </c>
      <c r="T118" s="3">
        <v>14</v>
      </c>
      <c r="U118" s="3">
        <v>30</v>
      </c>
    </row>
    <row r="119" spans="1:21" x14ac:dyDescent="0.25">
      <c r="A119" s="3" t="s">
        <v>246</v>
      </c>
      <c r="B119" s="3" t="s">
        <v>247</v>
      </c>
      <c r="C119" s="3" t="str">
        <f t="shared" si="3"/>
        <v>Oct</v>
      </c>
      <c r="D119" s="3">
        <v>35</v>
      </c>
      <c r="E119" s="3" t="str">
        <f t="shared" si="4"/>
        <v>adult</v>
      </c>
      <c r="F119" s="3" t="s">
        <v>45</v>
      </c>
      <c r="G119" s="3" t="s">
        <v>26</v>
      </c>
      <c r="H119" s="3">
        <v>354.9</v>
      </c>
      <c r="I119" s="3">
        <v>3</v>
      </c>
      <c r="J119" s="3">
        <f t="shared" si="5"/>
        <v>1064.6999999999998</v>
      </c>
      <c r="K119" s="3" t="s">
        <v>31</v>
      </c>
      <c r="L119" s="3">
        <v>8</v>
      </c>
      <c r="M119" s="3">
        <v>3</v>
      </c>
      <c r="N119" s="3" t="s">
        <v>546</v>
      </c>
      <c r="O119" s="3" t="s">
        <v>545</v>
      </c>
      <c r="P119" s="3" t="s">
        <v>548</v>
      </c>
      <c r="Q119" s="3">
        <v>0.12</v>
      </c>
      <c r="R119" s="3">
        <v>240000</v>
      </c>
      <c r="S119" s="3">
        <v>50</v>
      </c>
      <c r="T119" s="3">
        <v>14</v>
      </c>
      <c r="U119" s="3">
        <v>30</v>
      </c>
    </row>
    <row r="120" spans="1:21" x14ac:dyDescent="0.25">
      <c r="A120" s="3" t="s">
        <v>248</v>
      </c>
      <c r="B120" s="3" t="s">
        <v>249</v>
      </c>
      <c r="C120" s="3" t="str">
        <f t="shared" si="3"/>
        <v>Nov</v>
      </c>
      <c r="D120" s="3">
        <v>47</v>
      </c>
      <c r="E120" s="3" t="str">
        <f t="shared" si="4"/>
        <v>adult</v>
      </c>
      <c r="F120" s="3" t="s">
        <v>34</v>
      </c>
      <c r="G120" s="3" t="s">
        <v>48</v>
      </c>
      <c r="H120" s="3">
        <v>2633.62</v>
      </c>
      <c r="I120" s="3">
        <v>3</v>
      </c>
      <c r="J120" s="3">
        <f t="shared" si="5"/>
        <v>7900.86</v>
      </c>
      <c r="K120" s="3" t="s">
        <v>22</v>
      </c>
      <c r="L120" s="3">
        <v>10</v>
      </c>
      <c r="M120" s="3">
        <v>2</v>
      </c>
      <c r="N120" s="3" t="s">
        <v>546</v>
      </c>
      <c r="O120" s="3" t="s">
        <v>551</v>
      </c>
      <c r="P120" s="3" t="s">
        <v>544</v>
      </c>
      <c r="Q120" s="3">
        <v>0.05</v>
      </c>
      <c r="R120" s="3">
        <v>400000</v>
      </c>
      <c r="S120" s="3">
        <v>31</v>
      </c>
      <c r="T120" s="3">
        <v>7</v>
      </c>
      <c r="U120" s="3">
        <v>40</v>
      </c>
    </row>
    <row r="121" spans="1:21" x14ac:dyDescent="0.25">
      <c r="A121" s="3" t="s">
        <v>250</v>
      </c>
      <c r="B121" s="3" t="s">
        <v>251</v>
      </c>
      <c r="C121" s="3" t="str">
        <f t="shared" si="3"/>
        <v>Sep</v>
      </c>
      <c r="D121" s="3">
        <v>34</v>
      </c>
      <c r="E121" s="3" t="str">
        <f t="shared" si="4"/>
        <v>adult</v>
      </c>
      <c r="F121" s="3" t="s">
        <v>29</v>
      </c>
      <c r="G121" s="3" t="s">
        <v>48</v>
      </c>
      <c r="H121" s="3">
        <v>4157.1499999999996</v>
      </c>
      <c r="I121" s="3">
        <v>1</v>
      </c>
      <c r="J121" s="3">
        <f t="shared" si="5"/>
        <v>4157.1499999999996</v>
      </c>
      <c r="K121" s="3" t="s">
        <v>39</v>
      </c>
      <c r="L121" s="3">
        <v>3</v>
      </c>
      <c r="M121" s="3">
        <v>3</v>
      </c>
      <c r="N121" s="3" t="s">
        <v>546</v>
      </c>
      <c r="O121" s="3" t="s">
        <v>551</v>
      </c>
      <c r="P121" s="3" t="s">
        <v>39</v>
      </c>
      <c r="Q121" s="3">
        <v>0.05</v>
      </c>
      <c r="R121" s="3">
        <v>400000</v>
      </c>
      <c r="S121" s="3">
        <v>50</v>
      </c>
      <c r="T121" s="3">
        <v>7</v>
      </c>
      <c r="U121" s="3">
        <v>40</v>
      </c>
    </row>
    <row r="122" spans="1:21" x14ac:dyDescent="0.25">
      <c r="A122" s="3" t="s">
        <v>252</v>
      </c>
      <c r="B122" s="3" t="s">
        <v>253</v>
      </c>
      <c r="C122" s="3" t="str">
        <f t="shared" si="3"/>
        <v>Aug</v>
      </c>
      <c r="D122" s="3">
        <v>47</v>
      </c>
      <c r="E122" s="3" t="str">
        <f t="shared" si="4"/>
        <v>adult</v>
      </c>
      <c r="F122" s="3" t="s">
        <v>20</v>
      </c>
      <c r="G122" s="3" t="s">
        <v>51</v>
      </c>
      <c r="H122" s="3">
        <v>3859.42</v>
      </c>
      <c r="I122" s="3">
        <v>5</v>
      </c>
      <c r="J122" s="3">
        <f t="shared" si="5"/>
        <v>19297.099999999999</v>
      </c>
      <c r="K122" s="3" t="s">
        <v>22</v>
      </c>
      <c r="L122" s="3">
        <v>9</v>
      </c>
      <c r="M122" s="3">
        <v>4</v>
      </c>
      <c r="N122" s="3" t="s">
        <v>542</v>
      </c>
      <c r="O122" s="3" t="s">
        <v>552</v>
      </c>
      <c r="P122" s="3" t="s">
        <v>544</v>
      </c>
      <c r="Q122" s="3">
        <v>0.14000000000000001</v>
      </c>
      <c r="R122" s="3">
        <v>300000</v>
      </c>
      <c r="S122" s="3">
        <v>31</v>
      </c>
      <c r="T122" s="3">
        <v>12</v>
      </c>
      <c r="U122" s="3">
        <v>70</v>
      </c>
    </row>
    <row r="123" spans="1:21" x14ac:dyDescent="0.25">
      <c r="A123" s="3" t="s">
        <v>254</v>
      </c>
      <c r="B123" s="3" t="s">
        <v>255</v>
      </c>
      <c r="C123" s="3" t="str">
        <f t="shared" si="3"/>
        <v>Apr</v>
      </c>
      <c r="D123" s="3">
        <v>46</v>
      </c>
      <c r="E123" s="3" t="str">
        <f t="shared" si="4"/>
        <v>adult</v>
      </c>
      <c r="F123" s="3" t="s">
        <v>45</v>
      </c>
      <c r="G123" s="3" t="s">
        <v>48</v>
      </c>
      <c r="H123" s="3">
        <v>1411.82</v>
      </c>
      <c r="I123" s="3">
        <v>1</v>
      </c>
      <c r="J123" s="3">
        <f t="shared" si="5"/>
        <v>1411.82</v>
      </c>
      <c r="K123" s="3" t="s">
        <v>31</v>
      </c>
      <c r="L123" s="3">
        <v>10</v>
      </c>
      <c r="M123" s="3">
        <v>5</v>
      </c>
      <c r="N123" s="3" t="s">
        <v>546</v>
      </c>
      <c r="O123" s="3" t="s">
        <v>551</v>
      </c>
      <c r="P123" s="3" t="s">
        <v>548</v>
      </c>
      <c r="Q123" s="3">
        <v>0.05</v>
      </c>
      <c r="R123" s="3">
        <v>400000</v>
      </c>
      <c r="S123" s="3">
        <v>50</v>
      </c>
      <c r="T123" s="3">
        <v>7</v>
      </c>
      <c r="U123" s="3">
        <v>40</v>
      </c>
    </row>
    <row r="124" spans="1:21" x14ac:dyDescent="0.25">
      <c r="A124" s="3" t="s">
        <v>256</v>
      </c>
      <c r="B124" s="3" t="s">
        <v>257</v>
      </c>
      <c r="C124" s="3" t="str">
        <f t="shared" si="3"/>
        <v>May</v>
      </c>
      <c r="D124" s="3">
        <v>51</v>
      </c>
      <c r="E124" s="3" t="str">
        <f t="shared" si="4"/>
        <v>senior</v>
      </c>
      <c r="F124" s="3" t="s">
        <v>54</v>
      </c>
      <c r="G124" s="3" t="s">
        <v>51</v>
      </c>
      <c r="H124" s="3">
        <v>944.32</v>
      </c>
      <c r="I124" s="3">
        <v>5</v>
      </c>
      <c r="J124" s="3">
        <f t="shared" si="5"/>
        <v>4721.6000000000004</v>
      </c>
      <c r="K124" s="3" t="s">
        <v>22</v>
      </c>
      <c r="L124" s="3">
        <v>8</v>
      </c>
      <c r="M124" s="3">
        <v>5</v>
      </c>
      <c r="N124" s="3" t="s">
        <v>542</v>
      </c>
      <c r="O124" s="3" t="s">
        <v>552</v>
      </c>
      <c r="P124" s="3" t="s">
        <v>544</v>
      </c>
      <c r="Q124" s="3">
        <v>0.14000000000000001</v>
      </c>
      <c r="R124" s="3">
        <v>300000</v>
      </c>
      <c r="S124" s="3">
        <v>31</v>
      </c>
      <c r="T124" s="3">
        <v>12</v>
      </c>
      <c r="U124" s="3">
        <v>70</v>
      </c>
    </row>
    <row r="125" spans="1:21" x14ac:dyDescent="0.25">
      <c r="A125" s="3" t="s">
        <v>258</v>
      </c>
      <c r="B125" s="3" t="s">
        <v>259</v>
      </c>
      <c r="C125" s="3" t="str">
        <f t="shared" si="3"/>
        <v>Nov</v>
      </c>
      <c r="D125" s="3">
        <v>45</v>
      </c>
      <c r="E125" s="3" t="str">
        <f t="shared" si="4"/>
        <v>adult</v>
      </c>
      <c r="F125" s="3" t="s">
        <v>54</v>
      </c>
      <c r="G125" s="3" t="s">
        <v>51</v>
      </c>
      <c r="H125" s="3">
        <v>4282.6899999999996</v>
      </c>
      <c r="I125" s="3">
        <v>5</v>
      </c>
      <c r="J125" s="3">
        <f t="shared" si="5"/>
        <v>21413.449999999997</v>
      </c>
      <c r="K125" s="3" t="s">
        <v>36</v>
      </c>
      <c r="L125" s="3">
        <v>3</v>
      </c>
      <c r="M125" s="3">
        <v>2</v>
      </c>
      <c r="N125" s="3" t="s">
        <v>546</v>
      </c>
      <c r="O125" s="3" t="s">
        <v>552</v>
      </c>
      <c r="P125" s="3" t="s">
        <v>11</v>
      </c>
      <c r="Q125" s="3">
        <v>0.14000000000000001</v>
      </c>
      <c r="R125" s="3">
        <v>300000</v>
      </c>
      <c r="S125" s="3">
        <v>80</v>
      </c>
      <c r="T125" s="3">
        <v>12</v>
      </c>
      <c r="U125" s="3">
        <v>70</v>
      </c>
    </row>
    <row r="126" spans="1:21" x14ac:dyDescent="0.25">
      <c r="A126" s="3" t="s">
        <v>260</v>
      </c>
      <c r="B126" s="3" t="s">
        <v>261</v>
      </c>
      <c r="C126" s="3" t="str">
        <f t="shared" si="3"/>
        <v>Jun</v>
      </c>
      <c r="D126" s="3">
        <v>37</v>
      </c>
      <c r="E126" s="3" t="str">
        <f t="shared" si="4"/>
        <v>adult</v>
      </c>
      <c r="F126" s="3" t="s">
        <v>20</v>
      </c>
      <c r="G126" s="3" t="s">
        <v>35</v>
      </c>
      <c r="H126" s="3">
        <v>1531.17</v>
      </c>
      <c r="I126" s="3">
        <v>1</v>
      </c>
      <c r="J126" s="3">
        <f t="shared" si="5"/>
        <v>1531.17</v>
      </c>
      <c r="K126" s="3" t="s">
        <v>31</v>
      </c>
      <c r="L126" s="3">
        <v>2</v>
      </c>
      <c r="M126" s="3">
        <v>3</v>
      </c>
      <c r="N126" s="3" t="s">
        <v>546</v>
      </c>
      <c r="O126" s="3" t="s">
        <v>549</v>
      </c>
      <c r="P126" s="3" t="s">
        <v>548</v>
      </c>
      <c r="Q126" s="3">
        <v>0.18</v>
      </c>
      <c r="R126" s="3">
        <v>450000</v>
      </c>
      <c r="S126" s="3">
        <v>50</v>
      </c>
      <c r="T126" s="3">
        <v>15</v>
      </c>
      <c r="U126" s="3">
        <v>50</v>
      </c>
    </row>
    <row r="127" spans="1:21" x14ac:dyDescent="0.25">
      <c r="A127" s="3" t="s">
        <v>262</v>
      </c>
      <c r="B127" s="3" t="s">
        <v>235</v>
      </c>
      <c r="C127" s="3" t="str">
        <f t="shared" si="3"/>
        <v>Sep</v>
      </c>
      <c r="D127" s="3">
        <v>19</v>
      </c>
      <c r="E127" s="3" t="str">
        <f t="shared" si="4"/>
        <v>teenager</v>
      </c>
      <c r="F127" s="3" t="s">
        <v>25</v>
      </c>
      <c r="G127" s="3" t="s">
        <v>30</v>
      </c>
      <c r="H127" s="3">
        <v>4227.53</v>
      </c>
      <c r="I127" s="3">
        <v>1</v>
      </c>
      <c r="J127" s="3">
        <f t="shared" si="5"/>
        <v>4227.53</v>
      </c>
      <c r="K127" s="3" t="s">
        <v>31</v>
      </c>
      <c r="L127" s="3">
        <v>7</v>
      </c>
      <c r="M127" s="3">
        <v>2</v>
      </c>
      <c r="N127" s="3" t="s">
        <v>546</v>
      </c>
      <c r="O127" s="3" t="s">
        <v>547</v>
      </c>
      <c r="P127" s="3" t="s">
        <v>548</v>
      </c>
      <c r="Q127" s="3">
        <v>0.12</v>
      </c>
      <c r="R127" s="3">
        <v>350000</v>
      </c>
      <c r="S127" s="3">
        <v>50</v>
      </c>
      <c r="T127" s="3">
        <v>12</v>
      </c>
      <c r="U127" s="3">
        <v>100</v>
      </c>
    </row>
    <row r="128" spans="1:21" x14ac:dyDescent="0.25">
      <c r="A128" s="3" t="s">
        <v>263</v>
      </c>
      <c r="B128" s="3" t="s">
        <v>253</v>
      </c>
      <c r="C128" s="3" t="str">
        <f t="shared" si="3"/>
        <v>Aug</v>
      </c>
      <c r="D128" s="3">
        <v>23</v>
      </c>
      <c r="E128" s="3" t="str">
        <f t="shared" si="4"/>
        <v>adult</v>
      </c>
      <c r="F128" s="3" t="s">
        <v>54</v>
      </c>
      <c r="G128" s="3" t="s">
        <v>26</v>
      </c>
      <c r="H128" s="3">
        <v>3514.1</v>
      </c>
      <c r="I128" s="3">
        <v>5</v>
      </c>
      <c r="J128" s="3">
        <f t="shared" si="5"/>
        <v>17570.5</v>
      </c>
      <c r="K128" s="3" t="s">
        <v>31</v>
      </c>
      <c r="L128" s="3">
        <v>2</v>
      </c>
      <c r="M128" s="3">
        <v>1</v>
      </c>
      <c r="N128" s="3" t="s">
        <v>546</v>
      </c>
      <c r="O128" s="3" t="s">
        <v>545</v>
      </c>
      <c r="P128" s="3" t="s">
        <v>548</v>
      </c>
      <c r="Q128" s="3">
        <v>0.12</v>
      </c>
      <c r="R128" s="3">
        <v>240000</v>
      </c>
      <c r="S128" s="3">
        <v>50</v>
      </c>
      <c r="T128" s="3">
        <v>14</v>
      </c>
      <c r="U128" s="3">
        <v>30</v>
      </c>
    </row>
    <row r="129" spans="1:21" x14ac:dyDescent="0.25">
      <c r="A129" s="3" t="s">
        <v>264</v>
      </c>
      <c r="B129" s="3" t="s">
        <v>265</v>
      </c>
      <c r="C129" s="3" t="str">
        <f t="shared" si="3"/>
        <v>Dec</v>
      </c>
      <c r="D129" s="3">
        <v>42</v>
      </c>
      <c r="E129" s="3" t="str">
        <f t="shared" si="4"/>
        <v>adult</v>
      </c>
      <c r="F129" s="3" t="s">
        <v>34</v>
      </c>
      <c r="G129" s="3" t="s">
        <v>30</v>
      </c>
      <c r="H129" s="3">
        <v>2472.37</v>
      </c>
      <c r="I129" s="3">
        <v>1</v>
      </c>
      <c r="J129" s="3">
        <f t="shared" si="5"/>
        <v>2472.37</v>
      </c>
      <c r="K129" s="3" t="s">
        <v>42</v>
      </c>
      <c r="L129" s="3">
        <v>5</v>
      </c>
      <c r="M129" s="3">
        <v>1</v>
      </c>
      <c r="N129" s="3" t="s">
        <v>546</v>
      </c>
      <c r="O129" s="3" t="s">
        <v>547</v>
      </c>
      <c r="P129" s="3" t="s">
        <v>550</v>
      </c>
      <c r="Q129" s="3">
        <v>0.12</v>
      </c>
      <c r="R129" s="3">
        <v>350000</v>
      </c>
      <c r="S129" s="3">
        <v>90</v>
      </c>
      <c r="T129" s="3">
        <v>12</v>
      </c>
      <c r="U129" s="3">
        <v>100</v>
      </c>
    </row>
    <row r="130" spans="1:21" x14ac:dyDescent="0.25">
      <c r="A130" s="3" t="s">
        <v>266</v>
      </c>
      <c r="B130" s="3" t="s">
        <v>267</v>
      </c>
      <c r="C130" s="3" t="str">
        <f t="shared" ref="C130:C193" si="6">TEXT(B130,"mmm")</f>
        <v>Sep</v>
      </c>
      <c r="D130" s="3">
        <v>48</v>
      </c>
      <c r="E130" s="3" t="str">
        <f t="shared" si="4"/>
        <v>adult</v>
      </c>
      <c r="F130" s="3" t="s">
        <v>45</v>
      </c>
      <c r="G130" s="3" t="s">
        <v>35</v>
      </c>
      <c r="H130" s="3">
        <v>1640.68</v>
      </c>
      <c r="I130" s="3">
        <v>3</v>
      </c>
      <c r="J130" s="3">
        <f t="shared" si="5"/>
        <v>4922.04</v>
      </c>
      <c r="K130" s="3" t="s">
        <v>39</v>
      </c>
      <c r="L130" s="3">
        <v>5</v>
      </c>
      <c r="M130" s="3">
        <v>5</v>
      </c>
      <c r="N130" s="3" t="s">
        <v>542</v>
      </c>
      <c r="O130" s="3" t="s">
        <v>549</v>
      </c>
      <c r="P130" s="3" t="s">
        <v>39</v>
      </c>
      <c r="Q130" s="3">
        <v>0.18</v>
      </c>
      <c r="R130" s="3">
        <v>450000</v>
      </c>
      <c r="S130" s="3">
        <v>50</v>
      </c>
      <c r="T130" s="3">
        <v>15</v>
      </c>
      <c r="U130" s="3">
        <v>50</v>
      </c>
    </row>
    <row r="131" spans="1:21" x14ac:dyDescent="0.25">
      <c r="A131" s="3" t="s">
        <v>268</v>
      </c>
      <c r="B131" s="3" t="s">
        <v>269</v>
      </c>
      <c r="C131" s="3" t="str">
        <f t="shared" si="6"/>
        <v>Aug</v>
      </c>
      <c r="D131" s="3">
        <v>34</v>
      </c>
      <c r="E131" s="3" t="str">
        <f t="shared" ref="E131:E194" si="7">IF(D131&gt;50,"senior",IF(D131&gt;=21,"adult","teenager"))</f>
        <v>adult</v>
      </c>
      <c r="F131" s="3" t="s">
        <v>34</v>
      </c>
      <c r="G131" s="3" t="s">
        <v>30</v>
      </c>
      <c r="H131" s="3">
        <v>726.34</v>
      </c>
      <c r="I131" s="3">
        <v>5</v>
      </c>
      <c r="J131" s="3">
        <f t="shared" ref="J131:J194" si="8">H131*I131</f>
        <v>3631.7000000000003</v>
      </c>
      <c r="K131" s="3" t="s">
        <v>22</v>
      </c>
      <c r="L131" s="3">
        <v>2</v>
      </c>
      <c r="M131" s="3">
        <v>1</v>
      </c>
      <c r="N131" s="3" t="s">
        <v>546</v>
      </c>
      <c r="O131" s="3" t="s">
        <v>547</v>
      </c>
      <c r="P131" s="3" t="s">
        <v>544</v>
      </c>
      <c r="Q131" s="3">
        <v>0.12</v>
      </c>
      <c r="R131" s="3">
        <v>350000</v>
      </c>
      <c r="S131" s="3">
        <v>31</v>
      </c>
      <c r="T131" s="3">
        <v>12</v>
      </c>
      <c r="U131" s="3">
        <v>100</v>
      </c>
    </row>
    <row r="132" spans="1:21" x14ac:dyDescent="0.25">
      <c r="A132" s="3" t="s">
        <v>270</v>
      </c>
      <c r="B132" s="3" t="s">
        <v>58</v>
      </c>
      <c r="C132" s="3" t="str">
        <f t="shared" si="6"/>
        <v>Jul</v>
      </c>
      <c r="D132" s="3">
        <v>41</v>
      </c>
      <c r="E132" s="3" t="str">
        <f t="shared" si="7"/>
        <v>adult</v>
      </c>
      <c r="F132" s="3" t="s">
        <v>54</v>
      </c>
      <c r="G132" s="3" t="s">
        <v>48</v>
      </c>
      <c r="H132" s="3">
        <v>4440.17</v>
      </c>
      <c r="I132" s="3">
        <v>3</v>
      </c>
      <c r="J132" s="3">
        <f t="shared" si="8"/>
        <v>13320.51</v>
      </c>
      <c r="K132" s="3" t="s">
        <v>42</v>
      </c>
      <c r="L132" s="3">
        <v>4</v>
      </c>
      <c r="M132" s="3">
        <v>2</v>
      </c>
      <c r="N132" s="3" t="s">
        <v>546</v>
      </c>
      <c r="O132" s="3" t="s">
        <v>551</v>
      </c>
      <c r="P132" s="3" t="s">
        <v>550</v>
      </c>
      <c r="Q132" s="3">
        <v>0.05</v>
      </c>
      <c r="R132" s="3">
        <v>400000</v>
      </c>
      <c r="S132" s="3">
        <v>90</v>
      </c>
      <c r="T132" s="3">
        <v>7</v>
      </c>
      <c r="U132" s="3">
        <v>40</v>
      </c>
    </row>
    <row r="133" spans="1:21" x14ac:dyDescent="0.25">
      <c r="A133" s="3" t="s">
        <v>271</v>
      </c>
      <c r="B133" s="3" t="s">
        <v>150</v>
      </c>
      <c r="C133" s="3" t="str">
        <f t="shared" si="6"/>
        <v>Dec</v>
      </c>
      <c r="D133" s="3">
        <v>57</v>
      </c>
      <c r="E133" s="3" t="str">
        <f t="shared" si="7"/>
        <v>senior</v>
      </c>
      <c r="F133" s="3" t="s">
        <v>34</v>
      </c>
      <c r="G133" s="3" t="s">
        <v>30</v>
      </c>
      <c r="H133" s="3">
        <v>393.56</v>
      </c>
      <c r="I133" s="3">
        <v>3</v>
      </c>
      <c r="J133" s="3">
        <f t="shared" si="8"/>
        <v>1180.68</v>
      </c>
      <c r="K133" s="3" t="s">
        <v>39</v>
      </c>
      <c r="L133" s="3">
        <v>8</v>
      </c>
      <c r="M133" s="3">
        <v>1</v>
      </c>
      <c r="N133" s="3" t="s">
        <v>546</v>
      </c>
      <c r="O133" s="3" t="s">
        <v>547</v>
      </c>
      <c r="P133" s="3" t="s">
        <v>39</v>
      </c>
      <c r="Q133" s="3">
        <v>0.12</v>
      </c>
      <c r="R133" s="3">
        <v>350000</v>
      </c>
      <c r="S133" s="3">
        <v>50</v>
      </c>
      <c r="T133" s="3">
        <v>12</v>
      </c>
      <c r="U133" s="3">
        <v>100</v>
      </c>
    </row>
    <row r="134" spans="1:21" x14ac:dyDescent="0.25">
      <c r="A134" s="3" t="s">
        <v>272</v>
      </c>
      <c r="B134" s="3" t="s">
        <v>273</v>
      </c>
      <c r="C134" s="3" t="str">
        <f t="shared" si="6"/>
        <v>Jun</v>
      </c>
      <c r="D134" s="3">
        <v>51</v>
      </c>
      <c r="E134" s="3" t="str">
        <f t="shared" si="7"/>
        <v>senior</v>
      </c>
      <c r="F134" s="3" t="s">
        <v>54</v>
      </c>
      <c r="G134" s="3" t="s">
        <v>30</v>
      </c>
      <c r="H134" s="3">
        <v>2103.09</v>
      </c>
      <c r="I134" s="3">
        <v>1</v>
      </c>
      <c r="J134" s="3">
        <f t="shared" si="8"/>
        <v>2103.09</v>
      </c>
      <c r="K134" s="3" t="s">
        <v>39</v>
      </c>
      <c r="L134" s="3">
        <v>5</v>
      </c>
      <c r="M134" s="3">
        <v>3</v>
      </c>
      <c r="N134" s="3" t="s">
        <v>546</v>
      </c>
      <c r="O134" s="3" t="s">
        <v>547</v>
      </c>
      <c r="P134" s="3" t="s">
        <v>39</v>
      </c>
      <c r="Q134" s="3">
        <v>0.12</v>
      </c>
      <c r="R134" s="3">
        <v>350000</v>
      </c>
      <c r="S134" s="3">
        <v>50</v>
      </c>
      <c r="T134" s="3">
        <v>12</v>
      </c>
      <c r="U134" s="3">
        <v>100</v>
      </c>
    </row>
    <row r="135" spans="1:21" x14ac:dyDescent="0.25">
      <c r="A135" s="3" t="s">
        <v>274</v>
      </c>
      <c r="B135" s="3" t="s">
        <v>243</v>
      </c>
      <c r="C135" s="3" t="str">
        <f t="shared" si="6"/>
        <v>Dec</v>
      </c>
      <c r="D135" s="3">
        <v>41</v>
      </c>
      <c r="E135" s="3" t="str">
        <f t="shared" si="7"/>
        <v>adult</v>
      </c>
      <c r="F135" s="3" t="s">
        <v>45</v>
      </c>
      <c r="G135" s="3" t="s">
        <v>35</v>
      </c>
      <c r="H135" s="3">
        <v>4054.97</v>
      </c>
      <c r="I135" s="3">
        <v>4</v>
      </c>
      <c r="J135" s="3">
        <f t="shared" si="8"/>
        <v>16219.88</v>
      </c>
      <c r="K135" s="3" t="s">
        <v>39</v>
      </c>
      <c r="L135" s="3">
        <v>2</v>
      </c>
      <c r="M135" s="3">
        <v>3</v>
      </c>
      <c r="N135" s="3" t="s">
        <v>546</v>
      </c>
      <c r="O135" s="3" t="s">
        <v>549</v>
      </c>
      <c r="P135" s="3" t="s">
        <v>39</v>
      </c>
      <c r="Q135" s="3">
        <v>0.18</v>
      </c>
      <c r="R135" s="3">
        <v>450000</v>
      </c>
      <c r="S135" s="3">
        <v>50</v>
      </c>
      <c r="T135" s="3">
        <v>15</v>
      </c>
      <c r="U135" s="3">
        <v>50</v>
      </c>
    </row>
    <row r="136" spans="1:21" x14ac:dyDescent="0.25">
      <c r="A136" s="3" t="s">
        <v>275</v>
      </c>
      <c r="B136" s="3" t="s">
        <v>276</v>
      </c>
      <c r="C136" s="3" t="str">
        <f t="shared" si="6"/>
        <v>Aug</v>
      </c>
      <c r="D136" s="3">
        <v>43</v>
      </c>
      <c r="E136" s="3" t="str">
        <f t="shared" si="7"/>
        <v>adult</v>
      </c>
      <c r="F136" s="3" t="s">
        <v>54</v>
      </c>
      <c r="G136" s="3" t="s">
        <v>26</v>
      </c>
      <c r="H136" s="3">
        <v>1096.76</v>
      </c>
      <c r="I136" s="3">
        <v>1</v>
      </c>
      <c r="J136" s="3">
        <f t="shared" si="8"/>
        <v>1096.76</v>
      </c>
      <c r="K136" s="3" t="s">
        <v>36</v>
      </c>
      <c r="L136" s="3">
        <v>5</v>
      </c>
      <c r="M136" s="3">
        <v>4</v>
      </c>
      <c r="N136" s="3" t="s">
        <v>546</v>
      </c>
      <c r="O136" s="3" t="s">
        <v>545</v>
      </c>
      <c r="P136" s="3" t="s">
        <v>11</v>
      </c>
      <c r="Q136" s="3">
        <v>0.12</v>
      </c>
      <c r="R136" s="3">
        <v>240000</v>
      </c>
      <c r="S136" s="3">
        <v>80</v>
      </c>
      <c r="T136" s="3">
        <v>14</v>
      </c>
      <c r="U136" s="3">
        <v>30</v>
      </c>
    </row>
    <row r="137" spans="1:21" x14ac:dyDescent="0.25">
      <c r="A137" s="3" t="s">
        <v>277</v>
      </c>
      <c r="B137" s="3" t="s">
        <v>278</v>
      </c>
      <c r="C137" s="3" t="str">
        <f t="shared" si="6"/>
        <v>Aug</v>
      </c>
      <c r="D137" s="3">
        <v>38</v>
      </c>
      <c r="E137" s="3" t="str">
        <f t="shared" si="7"/>
        <v>adult</v>
      </c>
      <c r="F137" s="3" t="s">
        <v>20</v>
      </c>
      <c r="G137" s="3" t="s">
        <v>48</v>
      </c>
      <c r="H137" s="3">
        <v>3831.59</v>
      </c>
      <c r="I137" s="3">
        <v>3</v>
      </c>
      <c r="J137" s="3">
        <f t="shared" si="8"/>
        <v>11494.77</v>
      </c>
      <c r="K137" s="3" t="s">
        <v>36</v>
      </c>
      <c r="L137" s="3">
        <v>8</v>
      </c>
      <c r="M137" s="3">
        <v>3</v>
      </c>
      <c r="N137" s="3" t="s">
        <v>546</v>
      </c>
      <c r="O137" s="3" t="s">
        <v>551</v>
      </c>
      <c r="P137" s="3" t="s">
        <v>11</v>
      </c>
      <c r="Q137" s="3">
        <v>0.05</v>
      </c>
      <c r="R137" s="3">
        <v>400000</v>
      </c>
      <c r="S137" s="3">
        <v>80</v>
      </c>
      <c r="T137" s="3">
        <v>7</v>
      </c>
      <c r="U137" s="3">
        <v>40</v>
      </c>
    </row>
    <row r="138" spans="1:21" x14ac:dyDescent="0.25">
      <c r="A138" s="3" t="s">
        <v>279</v>
      </c>
      <c r="B138" s="3" t="s">
        <v>280</v>
      </c>
      <c r="C138" s="3" t="str">
        <f t="shared" si="6"/>
        <v>Apr</v>
      </c>
      <c r="D138" s="3">
        <v>53</v>
      </c>
      <c r="E138" s="3" t="str">
        <f t="shared" si="7"/>
        <v>senior</v>
      </c>
      <c r="F138" s="3" t="s">
        <v>54</v>
      </c>
      <c r="G138" s="3" t="s">
        <v>30</v>
      </c>
      <c r="H138" s="3">
        <v>313.68</v>
      </c>
      <c r="I138" s="3">
        <v>4</v>
      </c>
      <c r="J138" s="3">
        <f t="shared" si="8"/>
        <v>1254.72</v>
      </c>
      <c r="K138" s="3" t="s">
        <v>22</v>
      </c>
      <c r="L138" s="3">
        <v>2</v>
      </c>
      <c r="M138" s="3">
        <v>4</v>
      </c>
      <c r="N138" s="3" t="s">
        <v>542</v>
      </c>
      <c r="O138" s="3" t="s">
        <v>547</v>
      </c>
      <c r="P138" s="3" t="s">
        <v>544</v>
      </c>
      <c r="Q138" s="3">
        <v>0.12</v>
      </c>
      <c r="R138" s="3">
        <v>350000</v>
      </c>
      <c r="S138" s="3">
        <v>31</v>
      </c>
      <c r="T138" s="3">
        <v>12</v>
      </c>
      <c r="U138" s="3">
        <v>100</v>
      </c>
    </row>
    <row r="139" spans="1:21" x14ac:dyDescent="0.25">
      <c r="A139" s="3" t="s">
        <v>281</v>
      </c>
      <c r="B139" s="3" t="s">
        <v>282</v>
      </c>
      <c r="C139" s="3" t="str">
        <f t="shared" si="6"/>
        <v>Dec</v>
      </c>
      <c r="D139" s="3">
        <v>51</v>
      </c>
      <c r="E139" s="3" t="str">
        <f t="shared" si="7"/>
        <v>senior</v>
      </c>
      <c r="F139" s="3" t="s">
        <v>34</v>
      </c>
      <c r="G139" s="3" t="s">
        <v>48</v>
      </c>
      <c r="H139" s="3">
        <v>233.12</v>
      </c>
      <c r="I139" s="3">
        <v>2</v>
      </c>
      <c r="J139" s="3">
        <f t="shared" si="8"/>
        <v>466.24</v>
      </c>
      <c r="K139" s="3" t="s">
        <v>36</v>
      </c>
      <c r="L139" s="3">
        <v>8</v>
      </c>
      <c r="M139" s="3">
        <v>5</v>
      </c>
      <c r="N139" s="3" t="s">
        <v>546</v>
      </c>
      <c r="O139" s="3" t="s">
        <v>551</v>
      </c>
      <c r="P139" s="3" t="s">
        <v>11</v>
      </c>
      <c r="Q139" s="3">
        <v>0.05</v>
      </c>
      <c r="R139" s="3">
        <v>400000</v>
      </c>
      <c r="S139" s="3">
        <v>80</v>
      </c>
      <c r="T139" s="3">
        <v>7</v>
      </c>
      <c r="U139" s="3">
        <v>40</v>
      </c>
    </row>
    <row r="140" spans="1:21" x14ac:dyDescent="0.25">
      <c r="A140" s="3" t="s">
        <v>283</v>
      </c>
      <c r="B140" s="3" t="s">
        <v>241</v>
      </c>
      <c r="C140" s="3" t="str">
        <f t="shared" si="6"/>
        <v>Oct</v>
      </c>
      <c r="D140" s="3">
        <v>28</v>
      </c>
      <c r="E140" s="3" t="str">
        <f t="shared" si="7"/>
        <v>adult</v>
      </c>
      <c r="F140" s="3" t="s">
        <v>20</v>
      </c>
      <c r="G140" s="3" t="s">
        <v>35</v>
      </c>
      <c r="H140" s="3">
        <v>2778.63</v>
      </c>
      <c r="I140" s="3">
        <v>1</v>
      </c>
      <c r="J140" s="3">
        <f t="shared" si="8"/>
        <v>2778.63</v>
      </c>
      <c r="K140" s="3" t="s">
        <v>39</v>
      </c>
      <c r="L140" s="3">
        <v>5</v>
      </c>
      <c r="M140" s="3">
        <v>1</v>
      </c>
      <c r="N140" s="3" t="s">
        <v>546</v>
      </c>
      <c r="O140" s="3" t="s">
        <v>549</v>
      </c>
      <c r="P140" s="3" t="s">
        <v>39</v>
      </c>
      <c r="Q140" s="3">
        <v>0.18</v>
      </c>
      <c r="R140" s="3">
        <v>450000</v>
      </c>
      <c r="S140" s="3">
        <v>50</v>
      </c>
      <c r="T140" s="3">
        <v>15</v>
      </c>
      <c r="U140" s="3">
        <v>50</v>
      </c>
    </row>
    <row r="141" spans="1:21" x14ac:dyDescent="0.25">
      <c r="A141" s="3" t="s">
        <v>284</v>
      </c>
      <c r="B141" s="3" t="s">
        <v>38</v>
      </c>
      <c r="C141" s="3" t="str">
        <f t="shared" si="6"/>
        <v>Mar</v>
      </c>
      <c r="D141" s="3">
        <v>23</v>
      </c>
      <c r="E141" s="3" t="str">
        <f t="shared" si="7"/>
        <v>adult</v>
      </c>
      <c r="F141" s="3" t="s">
        <v>20</v>
      </c>
      <c r="G141" s="3" t="s">
        <v>30</v>
      </c>
      <c r="H141" s="3">
        <v>2212.0700000000002</v>
      </c>
      <c r="I141" s="3">
        <v>4</v>
      </c>
      <c r="J141" s="3">
        <f t="shared" si="8"/>
        <v>8848.2800000000007</v>
      </c>
      <c r="K141" s="3" t="s">
        <v>39</v>
      </c>
      <c r="L141" s="3">
        <v>6</v>
      </c>
      <c r="M141" s="3">
        <v>1</v>
      </c>
      <c r="N141" s="3" t="s">
        <v>546</v>
      </c>
      <c r="O141" s="3" t="s">
        <v>547</v>
      </c>
      <c r="P141" s="3" t="s">
        <v>39</v>
      </c>
      <c r="Q141" s="3">
        <v>0.12</v>
      </c>
      <c r="R141" s="3">
        <v>350000</v>
      </c>
      <c r="S141" s="3">
        <v>50</v>
      </c>
      <c r="T141" s="3">
        <v>12</v>
      </c>
      <c r="U141" s="3">
        <v>100</v>
      </c>
    </row>
    <row r="142" spans="1:21" x14ac:dyDescent="0.25">
      <c r="A142" s="3" t="s">
        <v>285</v>
      </c>
      <c r="B142" s="3" t="s">
        <v>286</v>
      </c>
      <c r="C142" s="3" t="str">
        <f t="shared" si="6"/>
        <v>Mar</v>
      </c>
      <c r="D142" s="3">
        <v>56</v>
      </c>
      <c r="E142" s="3" t="str">
        <f t="shared" si="7"/>
        <v>senior</v>
      </c>
      <c r="F142" s="3" t="s">
        <v>34</v>
      </c>
      <c r="G142" s="3" t="s">
        <v>30</v>
      </c>
      <c r="H142" s="3">
        <v>1371.94</v>
      </c>
      <c r="I142" s="3">
        <v>3</v>
      </c>
      <c r="J142" s="3">
        <f t="shared" si="8"/>
        <v>4115.82</v>
      </c>
      <c r="K142" s="3" t="s">
        <v>22</v>
      </c>
      <c r="L142" s="3">
        <v>10</v>
      </c>
      <c r="M142" s="3">
        <v>4</v>
      </c>
      <c r="N142" s="3" t="s">
        <v>542</v>
      </c>
      <c r="O142" s="3" t="s">
        <v>547</v>
      </c>
      <c r="P142" s="3" t="s">
        <v>544</v>
      </c>
      <c r="Q142" s="3">
        <v>0.12</v>
      </c>
      <c r="R142" s="3">
        <v>350000</v>
      </c>
      <c r="S142" s="3">
        <v>31</v>
      </c>
      <c r="T142" s="3">
        <v>12</v>
      </c>
      <c r="U142" s="3">
        <v>100</v>
      </c>
    </row>
    <row r="143" spans="1:21" x14ac:dyDescent="0.25">
      <c r="A143" s="3" t="s">
        <v>287</v>
      </c>
      <c r="B143" s="3" t="s">
        <v>288</v>
      </c>
      <c r="C143" s="3" t="str">
        <f t="shared" si="6"/>
        <v>Mar</v>
      </c>
      <c r="D143" s="3">
        <v>50</v>
      </c>
      <c r="E143" s="3" t="str">
        <f t="shared" si="7"/>
        <v>adult</v>
      </c>
      <c r="F143" s="3" t="s">
        <v>29</v>
      </c>
      <c r="G143" s="3" t="s">
        <v>51</v>
      </c>
      <c r="H143" s="3">
        <v>4430.22</v>
      </c>
      <c r="I143" s="3">
        <v>5</v>
      </c>
      <c r="J143" s="3">
        <f t="shared" si="8"/>
        <v>22151.100000000002</v>
      </c>
      <c r="K143" s="3" t="s">
        <v>36</v>
      </c>
      <c r="L143" s="3">
        <v>9</v>
      </c>
      <c r="M143" s="3">
        <v>1</v>
      </c>
      <c r="N143" s="3" t="s">
        <v>546</v>
      </c>
      <c r="O143" s="3" t="s">
        <v>552</v>
      </c>
      <c r="P143" s="3" t="s">
        <v>11</v>
      </c>
      <c r="Q143" s="3">
        <v>0.14000000000000001</v>
      </c>
      <c r="R143" s="3">
        <v>300000</v>
      </c>
      <c r="S143" s="3">
        <v>80</v>
      </c>
      <c r="T143" s="3">
        <v>12</v>
      </c>
      <c r="U143" s="3">
        <v>70</v>
      </c>
    </row>
    <row r="144" spans="1:21" x14ac:dyDescent="0.25">
      <c r="A144" s="3" t="s">
        <v>289</v>
      </c>
      <c r="B144" s="3" t="s">
        <v>111</v>
      </c>
      <c r="C144" s="3" t="str">
        <f t="shared" si="6"/>
        <v>Jun</v>
      </c>
      <c r="D144" s="3">
        <v>59</v>
      </c>
      <c r="E144" s="3" t="str">
        <f t="shared" si="7"/>
        <v>senior</v>
      </c>
      <c r="F144" s="3" t="s">
        <v>29</v>
      </c>
      <c r="G144" s="3" t="s">
        <v>30</v>
      </c>
      <c r="H144" s="3">
        <v>3746.98</v>
      </c>
      <c r="I144" s="3">
        <v>4</v>
      </c>
      <c r="J144" s="3">
        <f t="shared" si="8"/>
        <v>14987.92</v>
      </c>
      <c r="K144" s="3" t="s">
        <v>22</v>
      </c>
      <c r="L144" s="3">
        <v>7</v>
      </c>
      <c r="M144" s="3">
        <v>5</v>
      </c>
      <c r="N144" s="3" t="s">
        <v>542</v>
      </c>
      <c r="O144" s="3" t="s">
        <v>547</v>
      </c>
      <c r="P144" s="3" t="s">
        <v>544</v>
      </c>
      <c r="Q144" s="3">
        <v>0.12</v>
      </c>
      <c r="R144" s="3">
        <v>350000</v>
      </c>
      <c r="S144" s="3">
        <v>31</v>
      </c>
      <c r="T144" s="3">
        <v>12</v>
      </c>
      <c r="U144" s="3">
        <v>100</v>
      </c>
    </row>
    <row r="145" spans="1:21" x14ac:dyDescent="0.25">
      <c r="A145" s="3" t="s">
        <v>290</v>
      </c>
      <c r="B145" s="3" t="s">
        <v>291</v>
      </c>
      <c r="C145" s="3" t="str">
        <f t="shared" si="6"/>
        <v>Apr</v>
      </c>
      <c r="D145" s="3">
        <v>49</v>
      </c>
      <c r="E145" s="3" t="str">
        <f t="shared" si="7"/>
        <v>adult</v>
      </c>
      <c r="F145" s="3" t="s">
        <v>54</v>
      </c>
      <c r="G145" s="3" t="s">
        <v>51</v>
      </c>
      <c r="H145" s="3">
        <v>4204.0600000000004</v>
      </c>
      <c r="I145" s="3">
        <v>5</v>
      </c>
      <c r="J145" s="3">
        <f t="shared" si="8"/>
        <v>21020.300000000003</v>
      </c>
      <c r="K145" s="3" t="s">
        <v>36</v>
      </c>
      <c r="L145" s="3">
        <v>1</v>
      </c>
      <c r="M145" s="3">
        <v>5</v>
      </c>
      <c r="N145" s="3" t="s">
        <v>542</v>
      </c>
      <c r="O145" s="3" t="s">
        <v>552</v>
      </c>
      <c r="P145" s="3" t="s">
        <v>11</v>
      </c>
      <c r="Q145" s="3">
        <v>0.14000000000000001</v>
      </c>
      <c r="R145" s="3">
        <v>300000</v>
      </c>
      <c r="S145" s="3">
        <v>80</v>
      </c>
      <c r="T145" s="3">
        <v>12</v>
      </c>
      <c r="U145" s="3">
        <v>70</v>
      </c>
    </row>
    <row r="146" spans="1:21" x14ac:dyDescent="0.25">
      <c r="A146" s="3" t="s">
        <v>292</v>
      </c>
      <c r="B146" s="3" t="s">
        <v>293</v>
      </c>
      <c r="C146" s="3" t="str">
        <f t="shared" si="6"/>
        <v>Sep</v>
      </c>
      <c r="D146" s="3">
        <v>32</v>
      </c>
      <c r="E146" s="3" t="str">
        <f t="shared" si="7"/>
        <v>adult</v>
      </c>
      <c r="F146" s="3" t="s">
        <v>54</v>
      </c>
      <c r="G146" s="3" t="s">
        <v>26</v>
      </c>
      <c r="H146" s="3">
        <v>466.48</v>
      </c>
      <c r="I146" s="3">
        <v>5</v>
      </c>
      <c r="J146" s="3">
        <f t="shared" si="8"/>
        <v>2332.4</v>
      </c>
      <c r="K146" s="3" t="s">
        <v>36</v>
      </c>
      <c r="L146" s="3">
        <v>2</v>
      </c>
      <c r="M146" s="3">
        <v>1</v>
      </c>
      <c r="N146" s="3" t="s">
        <v>546</v>
      </c>
      <c r="O146" s="3" t="s">
        <v>545</v>
      </c>
      <c r="P146" s="3" t="s">
        <v>11</v>
      </c>
      <c r="Q146" s="3">
        <v>0.12</v>
      </c>
      <c r="R146" s="3">
        <v>240000</v>
      </c>
      <c r="S146" s="3">
        <v>80</v>
      </c>
      <c r="T146" s="3">
        <v>14</v>
      </c>
      <c r="U146" s="3">
        <v>30</v>
      </c>
    </row>
    <row r="147" spans="1:21" x14ac:dyDescent="0.25">
      <c r="A147" s="3" t="s">
        <v>294</v>
      </c>
      <c r="B147" s="3" t="s">
        <v>56</v>
      </c>
      <c r="C147" s="3" t="str">
        <f t="shared" si="6"/>
        <v>Mar</v>
      </c>
      <c r="D147" s="3">
        <v>26</v>
      </c>
      <c r="E147" s="3" t="str">
        <f t="shared" si="7"/>
        <v>adult</v>
      </c>
      <c r="F147" s="3" t="s">
        <v>20</v>
      </c>
      <c r="G147" s="3" t="s">
        <v>30</v>
      </c>
      <c r="H147" s="3">
        <v>3934.88</v>
      </c>
      <c r="I147" s="3">
        <v>4</v>
      </c>
      <c r="J147" s="3">
        <f t="shared" si="8"/>
        <v>15739.52</v>
      </c>
      <c r="K147" s="3" t="s">
        <v>22</v>
      </c>
      <c r="L147" s="3">
        <v>7</v>
      </c>
      <c r="M147" s="3">
        <v>1</v>
      </c>
      <c r="N147" s="3" t="s">
        <v>546</v>
      </c>
      <c r="O147" s="3" t="s">
        <v>547</v>
      </c>
      <c r="P147" s="3" t="s">
        <v>544</v>
      </c>
      <c r="Q147" s="3">
        <v>0.12</v>
      </c>
      <c r="R147" s="3">
        <v>350000</v>
      </c>
      <c r="S147" s="3">
        <v>31</v>
      </c>
      <c r="T147" s="3">
        <v>12</v>
      </c>
      <c r="U147" s="3">
        <v>100</v>
      </c>
    </row>
    <row r="148" spans="1:21" x14ac:dyDescent="0.25">
      <c r="A148" s="3" t="s">
        <v>295</v>
      </c>
      <c r="B148" s="3" t="s">
        <v>296</v>
      </c>
      <c r="C148" s="3" t="str">
        <f t="shared" si="6"/>
        <v>Jul</v>
      </c>
      <c r="D148" s="3">
        <v>54</v>
      </c>
      <c r="E148" s="3" t="str">
        <f t="shared" si="7"/>
        <v>senior</v>
      </c>
      <c r="F148" s="3" t="s">
        <v>54</v>
      </c>
      <c r="G148" s="3" t="s">
        <v>30</v>
      </c>
      <c r="H148" s="3">
        <v>261.57</v>
      </c>
      <c r="I148" s="3">
        <v>5</v>
      </c>
      <c r="J148" s="3">
        <f t="shared" si="8"/>
        <v>1307.8499999999999</v>
      </c>
      <c r="K148" s="3" t="s">
        <v>36</v>
      </c>
      <c r="L148" s="3">
        <v>9</v>
      </c>
      <c r="M148" s="3">
        <v>4</v>
      </c>
      <c r="N148" s="3" t="s">
        <v>542</v>
      </c>
      <c r="O148" s="3" t="s">
        <v>547</v>
      </c>
      <c r="P148" s="3" t="s">
        <v>11</v>
      </c>
      <c r="Q148" s="3">
        <v>0.12</v>
      </c>
      <c r="R148" s="3">
        <v>350000</v>
      </c>
      <c r="S148" s="3">
        <v>80</v>
      </c>
      <c r="T148" s="3">
        <v>12</v>
      </c>
      <c r="U148" s="3">
        <v>100</v>
      </c>
    </row>
    <row r="149" spans="1:21" x14ac:dyDescent="0.25">
      <c r="A149" s="3" t="s">
        <v>297</v>
      </c>
      <c r="B149" s="3" t="s">
        <v>298</v>
      </c>
      <c r="C149" s="3" t="str">
        <f t="shared" si="6"/>
        <v>Dec</v>
      </c>
      <c r="D149" s="3">
        <v>25</v>
      </c>
      <c r="E149" s="3" t="str">
        <f t="shared" si="7"/>
        <v>adult</v>
      </c>
      <c r="F149" s="3" t="s">
        <v>20</v>
      </c>
      <c r="G149" s="3" t="s">
        <v>48</v>
      </c>
      <c r="H149" s="3">
        <v>915.42</v>
      </c>
      <c r="I149" s="3">
        <v>5</v>
      </c>
      <c r="J149" s="3">
        <f t="shared" si="8"/>
        <v>4577.0999999999995</v>
      </c>
      <c r="K149" s="3" t="s">
        <v>36</v>
      </c>
      <c r="L149" s="3">
        <v>9</v>
      </c>
      <c r="M149" s="3">
        <v>1</v>
      </c>
      <c r="N149" s="3" t="s">
        <v>546</v>
      </c>
      <c r="O149" s="3" t="s">
        <v>551</v>
      </c>
      <c r="P149" s="3" t="s">
        <v>11</v>
      </c>
      <c r="Q149" s="3">
        <v>0.05</v>
      </c>
      <c r="R149" s="3">
        <v>400000</v>
      </c>
      <c r="S149" s="3">
        <v>80</v>
      </c>
      <c r="T149" s="3">
        <v>7</v>
      </c>
      <c r="U149" s="3">
        <v>40</v>
      </c>
    </row>
    <row r="150" spans="1:21" x14ac:dyDescent="0.25">
      <c r="A150" s="3" t="s">
        <v>299</v>
      </c>
      <c r="B150" s="3" t="s">
        <v>300</v>
      </c>
      <c r="C150" s="3" t="str">
        <f t="shared" si="6"/>
        <v>Apr</v>
      </c>
      <c r="D150" s="3">
        <v>27</v>
      </c>
      <c r="E150" s="3" t="str">
        <f t="shared" si="7"/>
        <v>adult</v>
      </c>
      <c r="F150" s="3" t="s">
        <v>54</v>
      </c>
      <c r="G150" s="3" t="s">
        <v>26</v>
      </c>
      <c r="H150" s="3">
        <v>1259.93</v>
      </c>
      <c r="I150" s="3">
        <v>3</v>
      </c>
      <c r="J150" s="3">
        <f t="shared" si="8"/>
        <v>3779.79</v>
      </c>
      <c r="K150" s="3" t="s">
        <v>39</v>
      </c>
      <c r="L150" s="3">
        <v>10</v>
      </c>
      <c r="M150" s="3">
        <v>3</v>
      </c>
      <c r="N150" s="3" t="s">
        <v>546</v>
      </c>
      <c r="O150" s="3" t="s">
        <v>545</v>
      </c>
      <c r="P150" s="3" t="s">
        <v>39</v>
      </c>
      <c r="Q150" s="3">
        <v>0.12</v>
      </c>
      <c r="R150" s="3">
        <v>240000</v>
      </c>
      <c r="S150" s="3">
        <v>50</v>
      </c>
      <c r="T150" s="3">
        <v>14</v>
      </c>
      <c r="U150" s="3">
        <v>30</v>
      </c>
    </row>
    <row r="151" spans="1:21" x14ac:dyDescent="0.25">
      <c r="A151" s="3" t="s">
        <v>301</v>
      </c>
      <c r="B151" s="3" t="s">
        <v>302</v>
      </c>
      <c r="C151" s="3" t="str">
        <f t="shared" si="6"/>
        <v>Jun</v>
      </c>
      <c r="D151" s="3">
        <v>21</v>
      </c>
      <c r="E151" s="3" t="str">
        <f t="shared" si="7"/>
        <v>adult</v>
      </c>
      <c r="F151" s="3" t="s">
        <v>45</v>
      </c>
      <c r="G151" s="3" t="s">
        <v>30</v>
      </c>
      <c r="H151" s="3">
        <v>2426.61</v>
      </c>
      <c r="I151" s="3">
        <v>4</v>
      </c>
      <c r="J151" s="3">
        <f t="shared" si="8"/>
        <v>9706.44</v>
      </c>
      <c r="K151" s="3" t="s">
        <v>31</v>
      </c>
      <c r="L151" s="3">
        <v>1</v>
      </c>
      <c r="M151" s="3">
        <v>2</v>
      </c>
      <c r="N151" s="3" t="s">
        <v>546</v>
      </c>
      <c r="O151" s="3" t="s">
        <v>547</v>
      </c>
      <c r="P151" s="3" t="s">
        <v>548</v>
      </c>
      <c r="Q151" s="3">
        <v>0.12</v>
      </c>
      <c r="R151" s="3">
        <v>350000</v>
      </c>
      <c r="S151" s="3">
        <v>50</v>
      </c>
      <c r="T151" s="3">
        <v>12</v>
      </c>
      <c r="U151" s="3">
        <v>100</v>
      </c>
    </row>
    <row r="152" spans="1:21" x14ac:dyDescent="0.25">
      <c r="A152" s="3" t="s">
        <v>303</v>
      </c>
      <c r="B152" s="3" t="s">
        <v>304</v>
      </c>
      <c r="C152" s="3" t="str">
        <f t="shared" si="6"/>
        <v>Apr</v>
      </c>
      <c r="D152" s="3">
        <v>18</v>
      </c>
      <c r="E152" s="3" t="str">
        <f t="shared" si="7"/>
        <v>teenager</v>
      </c>
      <c r="F152" s="3" t="s">
        <v>34</v>
      </c>
      <c r="G152" s="3" t="s">
        <v>51</v>
      </c>
      <c r="H152" s="3">
        <v>2748.48</v>
      </c>
      <c r="I152" s="3">
        <v>4</v>
      </c>
      <c r="J152" s="3">
        <f t="shared" si="8"/>
        <v>10993.92</v>
      </c>
      <c r="K152" s="3" t="s">
        <v>42</v>
      </c>
      <c r="L152" s="3">
        <v>6</v>
      </c>
      <c r="M152" s="3">
        <v>4</v>
      </c>
      <c r="N152" s="3" t="s">
        <v>542</v>
      </c>
      <c r="O152" s="3" t="s">
        <v>552</v>
      </c>
      <c r="P152" s="3" t="s">
        <v>550</v>
      </c>
      <c r="Q152" s="3">
        <v>0.14000000000000001</v>
      </c>
      <c r="R152" s="3">
        <v>300000</v>
      </c>
      <c r="S152" s="3">
        <v>90</v>
      </c>
      <c r="T152" s="3">
        <v>12</v>
      </c>
      <c r="U152" s="3">
        <v>70</v>
      </c>
    </row>
    <row r="153" spans="1:21" x14ac:dyDescent="0.25">
      <c r="A153" s="3" t="s">
        <v>305</v>
      </c>
      <c r="B153" s="3" t="s">
        <v>128</v>
      </c>
      <c r="C153" s="3" t="str">
        <f t="shared" si="6"/>
        <v>Nov</v>
      </c>
      <c r="D153" s="3">
        <v>39</v>
      </c>
      <c r="E153" s="3" t="str">
        <f t="shared" si="7"/>
        <v>adult</v>
      </c>
      <c r="F153" s="3" t="s">
        <v>25</v>
      </c>
      <c r="G153" s="3" t="s">
        <v>30</v>
      </c>
      <c r="H153" s="3">
        <v>806.53</v>
      </c>
      <c r="I153" s="3">
        <v>1</v>
      </c>
      <c r="J153" s="3">
        <f t="shared" si="8"/>
        <v>806.53</v>
      </c>
      <c r="K153" s="3" t="s">
        <v>36</v>
      </c>
      <c r="L153" s="3">
        <v>6</v>
      </c>
      <c r="M153" s="3">
        <v>5</v>
      </c>
      <c r="N153" s="3" t="s">
        <v>546</v>
      </c>
      <c r="O153" s="3" t="s">
        <v>547</v>
      </c>
      <c r="P153" s="3" t="s">
        <v>11</v>
      </c>
      <c r="Q153" s="3">
        <v>0.12</v>
      </c>
      <c r="R153" s="3">
        <v>350000</v>
      </c>
      <c r="S153" s="3">
        <v>80</v>
      </c>
      <c r="T153" s="3">
        <v>12</v>
      </c>
      <c r="U153" s="3">
        <v>100</v>
      </c>
    </row>
    <row r="154" spans="1:21" x14ac:dyDescent="0.25">
      <c r="A154" s="3" t="s">
        <v>306</v>
      </c>
      <c r="B154" s="3" t="s">
        <v>241</v>
      </c>
      <c r="C154" s="3" t="str">
        <f t="shared" si="6"/>
        <v>Oct</v>
      </c>
      <c r="D154" s="3">
        <v>39</v>
      </c>
      <c r="E154" s="3" t="str">
        <f t="shared" si="7"/>
        <v>adult</v>
      </c>
      <c r="F154" s="3" t="s">
        <v>54</v>
      </c>
      <c r="G154" s="3" t="s">
        <v>48</v>
      </c>
      <c r="H154" s="3">
        <v>3499.85</v>
      </c>
      <c r="I154" s="3">
        <v>3</v>
      </c>
      <c r="J154" s="3">
        <f t="shared" si="8"/>
        <v>10499.55</v>
      </c>
      <c r="K154" s="3" t="s">
        <v>22</v>
      </c>
      <c r="L154" s="3">
        <v>6</v>
      </c>
      <c r="M154" s="3">
        <v>1</v>
      </c>
      <c r="N154" s="3" t="s">
        <v>546</v>
      </c>
      <c r="O154" s="3" t="s">
        <v>551</v>
      </c>
      <c r="P154" s="3" t="s">
        <v>544</v>
      </c>
      <c r="Q154" s="3">
        <v>0.05</v>
      </c>
      <c r="R154" s="3">
        <v>400000</v>
      </c>
      <c r="S154" s="3">
        <v>31</v>
      </c>
      <c r="T154" s="3">
        <v>7</v>
      </c>
      <c r="U154" s="3">
        <v>40</v>
      </c>
    </row>
    <row r="155" spans="1:21" x14ac:dyDescent="0.25">
      <c r="A155" s="3" t="s">
        <v>307</v>
      </c>
      <c r="B155" s="3" t="s">
        <v>308</v>
      </c>
      <c r="C155" s="3" t="str">
        <f t="shared" si="6"/>
        <v>Jul</v>
      </c>
      <c r="D155" s="3">
        <v>57</v>
      </c>
      <c r="E155" s="3" t="str">
        <f t="shared" si="7"/>
        <v>senior</v>
      </c>
      <c r="F155" s="3" t="s">
        <v>29</v>
      </c>
      <c r="G155" s="3" t="s">
        <v>48</v>
      </c>
      <c r="H155" s="3">
        <v>3274.59</v>
      </c>
      <c r="I155" s="3">
        <v>2</v>
      </c>
      <c r="J155" s="3">
        <f t="shared" si="8"/>
        <v>6549.18</v>
      </c>
      <c r="K155" s="3" t="s">
        <v>31</v>
      </c>
      <c r="L155" s="3">
        <v>6</v>
      </c>
      <c r="M155" s="3">
        <v>1</v>
      </c>
      <c r="N155" s="3" t="s">
        <v>546</v>
      </c>
      <c r="O155" s="3" t="s">
        <v>551</v>
      </c>
      <c r="P155" s="3" t="s">
        <v>548</v>
      </c>
      <c r="Q155" s="3">
        <v>0.05</v>
      </c>
      <c r="R155" s="3">
        <v>400000</v>
      </c>
      <c r="S155" s="3">
        <v>50</v>
      </c>
      <c r="T155" s="3">
        <v>7</v>
      </c>
      <c r="U155" s="3">
        <v>40</v>
      </c>
    </row>
    <row r="156" spans="1:21" x14ac:dyDescent="0.25">
      <c r="A156" s="3" t="s">
        <v>309</v>
      </c>
      <c r="B156" s="3" t="s">
        <v>310</v>
      </c>
      <c r="C156" s="3" t="str">
        <f t="shared" si="6"/>
        <v>Aug</v>
      </c>
      <c r="D156" s="3">
        <v>48</v>
      </c>
      <c r="E156" s="3" t="str">
        <f t="shared" si="7"/>
        <v>adult</v>
      </c>
      <c r="F156" s="3" t="s">
        <v>20</v>
      </c>
      <c r="G156" s="3" t="s">
        <v>26</v>
      </c>
      <c r="H156" s="3">
        <v>3213.53</v>
      </c>
      <c r="I156" s="3">
        <v>3</v>
      </c>
      <c r="J156" s="3">
        <f t="shared" si="8"/>
        <v>9640.59</v>
      </c>
      <c r="K156" s="3" t="s">
        <v>31</v>
      </c>
      <c r="L156" s="3">
        <v>7</v>
      </c>
      <c r="M156" s="3">
        <v>1</v>
      </c>
      <c r="N156" s="3" t="s">
        <v>546</v>
      </c>
      <c r="O156" s="3" t="s">
        <v>545</v>
      </c>
      <c r="P156" s="3" t="s">
        <v>548</v>
      </c>
      <c r="Q156" s="3">
        <v>0.12</v>
      </c>
      <c r="R156" s="3">
        <v>240000</v>
      </c>
      <c r="S156" s="3">
        <v>50</v>
      </c>
      <c r="T156" s="3">
        <v>14</v>
      </c>
      <c r="U156" s="3">
        <v>30</v>
      </c>
    </row>
    <row r="157" spans="1:21" x14ac:dyDescent="0.25">
      <c r="A157" s="3" t="s">
        <v>311</v>
      </c>
      <c r="B157" s="3" t="s">
        <v>152</v>
      </c>
      <c r="C157" s="3" t="str">
        <f t="shared" si="6"/>
        <v>Sep</v>
      </c>
      <c r="D157" s="3">
        <v>18</v>
      </c>
      <c r="E157" s="3" t="str">
        <f t="shared" si="7"/>
        <v>teenager</v>
      </c>
      <c r="F157" s="3" t="s">
        <v>20</v>
      </c>
      <c r="G157" s="3" t="s">
        <v>48</v>
      </c>
      <c r="H157" s="3">
        <v>2000.95</v>
      </c>
      <c r="I157" s="3">
        <v>2</v>
      </c>
      <c r="J157" s="3">
        <f t="shared" si="8"/>
        <v>4001.9</v>
      </c>
      <c r="K157" s="3" t="s">
        <v>39</v>
      </c>
      <c r="L157" s="3">
        <v>7</v>
      </c>
      <c r="M157" s="3">
        <v>4</v>
      </c>
      <c r="N157" s="3" t="s">
        <v>546</v>
      </c>
      <c r="O157" s="3" t="s">
        <v>551</v>
      </c>
      <c r="P157" s="3" t="s">
        <v>39</v>
      </c>
      <c r="Q157" s="3">
        <v>0.05</v>
      </c>
      <c r="R157" s="3">
        <v>400000</v>
      </c>
      <c r="S157" s="3">
        <v>50</v>
      </c>
      <c r="T157" s="3">
        <v>7</v>
      </c>
      <c r="U157" s="3">
        <v>40</v>
      </c>
    </row>
    <row r="158" spans="1:21" x14ac:dyDescent="0.25">
      <c r="A158" s="3" t="s">
        <v>312</v>
      </c>
      <c r="B158" s="3" t="s">
        <v>313</v>
      </c>
      <c r="C158" s="3" t="str">
        <f t="shared" si="6"/>
        <v>Sep</v>
      </c>
      <c r="D158" s="3">
        <v>18</v>
      </c>
      <c r="E158" s="3" t="str">
        <f t="shared" si="7"/>
        <v>teenager</v>
      </c>
      <c r="F158" s="3" t="s">
        <v>29</v>
      </c>
      <c r="G158" s="3" t="s">
        <v>51</v>
      </c>
      <c r="H158" s="3">
        <v>1710.69</v>
      </c>
      <c r="I158" s="3">
        <v>5</v>
      </c>
      <c r="J158" s="3">
        <f t="shared" si="8"/>
        <v>8553.4500000000007</v>
      </c>
      <c r="K158" s="3" t="s">
        <v>36</v>
      </c>
      <c r="L158" s="3">
        <v>2</v>
      </c>
      <c r="M158" s="3">
        <v>2</v>
      </c>
      <c r="N158" s="3" t="s">
        <v>546</v>
      </c>
      <c r="O158" s="3" t="s">
        <v>552</v>
      </c>
      <c r="P158" s="3" t="s">
        <v>11</v>
      </c>
      <c r="Q158" s="3">
        <v>0.14000000000000001</v>
      </c>
      <c r="R158" s="3">
        <v>300000</v>
      </c>
      <c r="S158" s="3">
        <v>80</v>
      </c>
      <c r="T158" s="3">
        <v>12</v>
      </c>
      <c r="U158" s="3">
        <v>70</v>
      </c>
    </row>
    <row r="159" spans="1:21" x14ac:dyDescent="0.25">
      <c r="A159" s="3" t="s">
        <v>314</v>
      </c>
      <c r="B159" s="3" t="s">
        <v>315</v>
      </c>
      <c r="C159" s="3" t="str">
        <f t="shared" si="6"/>
        <v>Feb</v>
      </c>
      <c r="D159" s="3">
        <v>52</v>
      </c>
      <c r="E159" s="3" t="str">
        <f t="shared" si="7"/>
        <v>senior</v>
      </c>
      <c r="F159" s="3" t="s">
        <v>25</v>
      </c>
      <c r="G159" s="3" t="s">
        <v>48</v>
      </c>
      <c r="H159" s="3">
        <v>1501.12</v>
      </c>
      <c r="I159" s="3">
        <v>5</v>
      </c>
      <c r="J159" s="3">
        <f t="shared" si="8"/>
        <v>7505.5999999999995</v>
      </c>
      <c r="K159" s="3" t="s">
        <v>31</v>
      </c>
      <c r="L159" s="3">
        <v>7</v>
      </c>
      <c r="M159" s="3">
        <v>3</v>
      </c>
      <c r="N159" s="3" t="s">
        <v>546</v>
      </c>
      <c r="O159" s="3" t="s">
        <v>551</v>
      </c>
      <c r="P159" s="3" t="s">
        <v>548</v>
      </c>
      <c r="Q159" s="3">
        <v>0.05</v>
      </c>
      <c r="R159" s="3">
        <v>400000</v>
      </c>
      <c r="S159" s="3">
        <v>50</v>
      </c>
      <c r="T159" s="3">
        <v>7</v>
      </c>
      <c r="U159" s="3">
        <v>40</v>
      </c>
    </row>
    <row r="160" spans="1:21" x14ac:dyDescent="0.25">
      <c r="A160" s="3" t="s">
        <v>316</v>
      </c>
      <c r="B160" s="3" t="s">
        <v>317</v>
      </c>
      <c r="C160" s="3" t="str">
        <f t="shared" si="6"/>
        <v>Feb</v>
      </c>
      <c r="D160" s="3">
        <v>28</v>
      </c>
      <c r="E160" s="3" t="str">
        <f t="shared" si="7"/>
        <v>adult</v>
      </c>
      <c r="F160" s="3" t="s">
        <v>45</v>
      </c>
      <c r="G160" s="3" t="s">
        <v>35</v>
      </c>
      <c r="H160" s="3">
        <v>806.2</v>
      </c>
      <c r="I160" s="3">
        <v>1</v>
      </c>
      <c r="J160" s="3">
        <f t="shared" si="8"/>
        <v>806.2</v>
      </c>
      <c r="K160" s="3" t="s">
        <v>42</v>
      </c>
      <c r="L160" s="3">
        <v>1</v>
      </c>
      <c r="M160" s="3">
        <v>3</v>
      </c>
      <c r="N160" s="3" t="s">
        <v>546</v>
      </c>
      <c r="O160" s="3" t="s">
        <v>549</v>
      </c>
      <c r="P160" s="3" t="s">
        <v>550</v>
      </c>
      <c r="Q160" s="3">
        <v>0.18</v>
      </c>
      <c r="R160" s="3">
        <v>450000</v>
      </c>
      <c r="S160" s="3">
        <v>90</v>
      </c>
      <c r="T160" s="3">
        <v>15</v>
      </c>
      <c r="U160" s="3">
        <v>50</v>
      </c>
    </row>
    <row r="161" spans="1:21" x14ac:dyDescent="0.25">
      <c r="A161" s="3" t="s">
        <v>318</v>
      </c>
      <c r="B161" s="3" t="s">
        <v>319</v>
      </c>
      <c r="C161" s="3" t="str">
        <f t="shared" si="6"/>
        <v>Sep</v>
      </c>
      <c r="D161" s="3">
        <v>59</v>
      </c>
      <c r="E161" s="3" t="str">
        <f t="shared" si="7"/>
        <v>senior</v>
      </c>
      <c r="F161" s="3" t="s">
        <v>20</v>
      </c>
      <c r="G161" s="3" t="s">
        <v>26</v>
      </c>
      <c r="H161" s="3">
        <v>1483.91</v>
      </c>
      <c r="I161" s="3">
        <v>5</v>
      </c>
      <c r="J161" s="3">
        <f t="shared" si="8"/>
        <v>7419.55</v>
      </c>
      <c r="K161" s="3" t="s">
        <v>42</v>
      </c>
      <c r="L161" s="3">
        <v>3</v>
      </c>
      <c r="M161" s="3">
        <v>5</v>
      </c>
      <c r="N161" s="3" t="s">
        <v>542</v>
      </c>
      <c r="O161" s="3" t="s">
        <v>545</v>
      </c>
      <c r="P161" s="3" t="s">
        <v>550</v>
      </c>
      <c r="Q161" s="3">
        <v>0.12</v>
      </c>
      <c r="R161" s="3">
        <v>240000</v>
      </c>
      <c r="S161" s="3">
        <v>90</v>
      </c>
      <c r="T161" s="3">
        <v>14</v>
      </c>
      <c r="U161" s="3">
        <v>30</v>
      </c>
    </row>
    <row r="162" spans="1:21" x14ac:dyDescent="0.25">
      <c r="A162" s="3" t="s">
        <v>320</v>
      </c>
      <c r="B162" s="3" t="s">
        <v>321</v>
      </c>
      <c r="C162" s="3" t="str">
        <f t="shared" si="6"/>
        <v>Jan</v>
      </c>
      <c r="D162" s="3">
        <v>24</v>
      </c>
      <c r="E162" s="3" t="str">
        <f t="shared" si="7"/>
        <v>adult</v>
      </c>
      <c r="F162" s="3" t="s">
        <v>45</v>
      </c>
      <c r="G162" s="3" t="s">
        <v>26</v>
      </c>
      <c r="H162" s="3">
        <v>1005.51</v>
      </c>
      <c r="I162" s="3">
        <v>2</v>
      </c>
      <c r="J162" s="3">
        <f t="shared" si="8"/>
        <v>2011.02</v>
      </c>
      <c r="K162" s="3" t="s">
        <v>39</v>
      </c>
      <c r="L162" s="3">
        <v>1</v>
      </c>
      <c r="M162" s="3">
        <v>3</v>
      </c>
      <c r="N162" s="3" t="s">
        <v>546</v>
      </c>
      <c r="O162" s="3" t="s">
        <v>545</v>
      </c>
      <c r="P162" s="3" t="s">
        <v>39</v>
      </c>
      <c r="Q162" s="3">
        <v>0.12</v>
      </c>
      <c r="R162" s="3">
        <v>240000</v>
      </c>
      <c r="S162" s="3">
        <v>50</v>
      </c>
      <c r="T162" s="3">
        <v>14</v>
      </c>
      <c r="U162" s="3">
        <v>30</v>
      </c>
    </row>
    <row r="163" spans="1:21" x14ac:dyDescent="0.25">
      <c r="A163" s="3" t="s">
        <v>322</v>
      </c>
      <c r="B163" s="3" t="s">
        <v>323</v>
      </c>
      <c r="C163" s="3" t="str">
        <f t="shared" si="6"/>
        <v>Dec</v>
      </c>
      <c r="D163" s="3">
        <v>38</v>
      </c>
      <c r="E163" s="3" t="str">
        <f t="shared" si="7"/>
        <v>adult</v>
      </c>
      <c r="F163" s="3" t="s">
        <v>45</v>
      </c>
      <c r="G163" s="3" t="s">
        <v>21</v>
      </c>
      <c r="H163" s="3">
        <v>780.03</v>
      </c>
      <c r="I163" s="3">
        <v>2</v>
      </c>
      <c r="J163" s="3">
        <f t="shared" si="8"/>
        <v>1560.06</v>
      </c>
      <c r="K163" s="3" t="s">
        <v>42</v>
      </c>
      <c r="L163" s="3">
        <v>9</v>
      </c>
      <c r="M163" s="3">
        <v>1</v>
      </c>
      <c r="N163" s="3" t="s">
        <v>546</v>
      </c>
      <c r="O163" s="3" t="s">
        <v>543</v>
      </c>
      <c r="P163" s="3" t="s">
        <v>550</v>
      </c>
      <c r="Q163" s="3">
        <v>0.1</v>
      </c>
      <c r="R163" s="3">
        <v>560000</v>
      </c>
      <c r="S163" s="3">
        <v>90</v>
      </c>
      <c r="T163" s="3">
        <v>13</v>
      </c>
      <c r="U163" s="3">
        <v>60</v>
      </c>
    </row>
    <row r="164" spans="1:21" x14ac:dyDescent="0.25">
      <c r="A164" s="3" t="s">
        <v>324</v>
      </c>
      <c r="B164" s="3" t="s">
        <v>115</v>
      </c>
      <c r="C164" s="3" t="str">
        <f t="shared" si="6"/>
        <v>Jul</v>
      </c>
      <c r="D164" s="3">
        <v>19</v>
      </c>
      <c r="E164" s="3" t="str">
        <f t="shared" si="7"/>
        <v>teenager</v>
      </c>
      <c r="F164" s="3" t="s">
        <v>25</v>
      </c>
      <c r="G164" s="3" t="s">
        <v>51</v>
      </c>
      <c r="H164" s="3">
        <v>2577.54</v>
      </c>
      <c r="I164" s="3">
        <v>1</v>
      </c>
      <c r="J164" s="3">
        <f t="shared" si="8"/>
        <v>2577.54</v>
      </c>
      <c r="K164" s="3" t="s">
        <v>39</v>
      </c>
      <c r="L164" s="3">
        <v>5</v>
      </c>
      <c r="M164" s="3">
        <v>1</v>
      </c>
      <c r="N164" s="3" t="s">
        <v>546</v>
      </c>
      <c r="O164" s="3" t="s">
        <v>552</v>
      </c>
      <c r="P164" s="3" t="s">
        <v>39</v>
      </c>
      <c r="Q164" s="3">
        <v>0.14000000000000001</v>
      </c>
      <c r="R164" s="3">
        <v>300000</v>
      </c>
      <c r="S164" s="3">
        <v>50</v>
      </c>
      <c r="T164" s="3">
        <v>12</v>
      </c>
      <c r="U164" s="3">
        <v>70</v>
      </c>
    </row>
    <row r="165" spans="1:21" x14ac:dyDescent="0.25">
      <c r="A165" s="3" t="s">
        <v>325</v>
      </c>
      <c r="B165" s="3" t="s">
        <v>326</v>
      </c>
      <c r="C165" s="3" t="str">
        <f t="shared" si="6"/>
        <v>Mar</v>
      </c>
      <c r="D165" s="3">
        <v>35</v>
      </c>
      <c r="E165" s="3" t="str">
        <f t="shared" si="7"/>
        <v>adult</v>
      </c>
      <c r="F165" s="3" t="s">
        <v>34</v>
      </c>
      <c r="G165" s="3" t="s">
        <v>51</v>
      </c>
      <c r="H165" s="3">
        <v>366.51</v>
      </c>
      <c r="I165" s="3">
        <v>3</v>
      </c>
      <c r="J165" s="3">
        <f t="shared" si="8"/>
        <v>1099.53</v>
      </c>
      <c r="K165" s="3" t="s">
        <v>31</v>
      </c>
      <c r="L165" s="3">
        <v>7</v>
      </c>
      <c r="M165" s="3">
        <v>4</v>
      </c>
      <c r="N165" s="3" t="s">
        <v>542</v>
      </c>
      <c r="O165" s="3" t="s">
        <v>552</v>
      </c>
      <c r="P165" s="3" t="s">
        <v>548</v>
      </c>
      <c r="Q165" s="3">
        <v>0.14000000000000001</v>
      </c>
      <c r="R165" s="3">
        <v>300000</v>
      </c>
      <c r="S165" s="3">
        <v>50</v>
      </c>
      <c r="T165" s="3">
        <v>12</v>
      </c>
      <c r="U165" s="3">
        <v>70</v>
      </c>
    </row>
    <row r="166" spans="1:21" x14ac:dyDescent="0.25">
      <c r="A166" s="3" t="s">
        <v>327</v>
      </c>
      <c r="B166" s="3" t="s">
        <v>328</v>
      </c>
      <c r="C166" s="3" t="str">
        <f t="shared" si="6"/>
        <v>Sep</v>
      </c>
      <c r="D166" s="3">
        <v>29</v>
      </c>
      <c r="E166" s="3" t="str">
        <f t="shared" si="7"/>
        <v>adult</v>
      </c>
      <c r="F166" s="3" t="s">
        <v>54</v>
      </c>
      <c r="G166" s="3" t="s">
        <v>48</v>
      </c>
      <c r="H166" s="3">
        <v>4905.82</v>
      </c>
      <c r="I166" s="3">
        <v>2</v>
      </c>
      <c r="J166" s="3">
        <f t="shared" si="8"/>
        <v>9811.64</v>
      </c>
      <c r="K166" s="3" t="s">
        <v>22</v>
      </c>
      <c r="L166" s="3">
        <v>3</v>
      </c>
      <c r="M166" s="3">
        <v>2</v>
      </c>
      <c r="N166" s="3" t="s">
        <v>546</v>
      </c>
      <c r="O166" s="3" t="s">
        <v>551</v>
      </c>
      <c r="P166" s="3" t="s">
        <v>544</v>
      </c>
      <c r="Q166" s="3">
        <v>0.05</v>
      </c>
      <c r="R166" s="3">
        <v>400000</v>
      </c>
      <c r="S166" s="3">
        <v>31</v>
      </c>
      <c r="T166" s="3">
        <v>7</v>
      </c>
      <c r="U166" s="3">
        <v>40</v>
      </c>
    </row>
    <row r="167" spans="1:21" x14ac:dyDescent="0.25">
      <c r="A167" s="3" t="s">
        <v>329</v>
      </c>
      <c r="B167" s="3" t="s">
        <v>92</v>
      </c>
      <c r="C167" s="3" t="str">
        <f t="shared" si="6"/>
        <v>Dec</v>
      </c>
      <c r="D167" s="3">
        <v>36</v>
      </c>
      <c r="E167" s="3" t="str">
        <f t="shared" si="7"/>
        <v>adult</v>
      </c>
      <c r="F167" s="3" t="s">
        <v>45</v>
      </c>
      <c r="G167" s="3" t="s">
        <v>30</v>
      </c>
      <c r="H167" s="3">
        <v>3343.63</v>
      </c>
      <c r="I167" s="3">
        <v>2</v>
      </c>
      <c r="J167" s="3">
        <f t="shared" si="8"/>
        <v>6687.26</v>
      </c>
      <c r="K167" s="3" t="s">
        <v>36</v>
      </c>
      <c r="L167" s="3">
        <v>4</v>
      </c>
      <c r="M167" s="3">
        <v>2</v>
      </c>
      <c r="N167" s="3" t="s">
        <v>546</v>
      </c>
      <c r="O167" s="3" t="s">
        <v>547</v>
      </c>
      <c r="P167" s="3" t="s">
        <v>11</v>
      </c>
      <c r="Q167" s="3">
        <v>0.12</v>
      </c>
      <c r="R167" s="3">
        <v>350000</v>
      </c>
      <c r="S167" s="3">
        <v>80</v>
      </c>
      <c r="T167" s="3">
        <v>12</v>
      </c>
      <c r="U167" s="3">
        <v>100</v>
      </c>
    </row>
    <row r="168" spans="1:21" x14ac:dyDescent="0.25">
      <c r="A168" s="3" t="s">
        <v>330</v>
      </c>
      <c r="B168" s="3" t="s">
        <v>331</v>
      </c>
      <c r="C168" s="3" t="str">
        <f t="shared" si="6"/>
        <v>Aug</v>
      </c>
      <c r="D168" s="3">
        <v>24</v>
      </c>
      <c r="E168" s="3" t="str">
        <f t="shared" si="7"/>
        <v>adult</v>
      </c>
      <c r="F168" s="3" t="s">
        <v>29</v>
      </c>
      <c r="G168" s="3" t="s">
        <v>26</v>
      </c>
      <c r="H168" s="3">
        <v>2378.6799999999998</v>
      </c>
      <c r="I168" s="3">
        <v>2</v>
      </c>
      <c r="J168" s="3">
        <f t="shared" si="8"/>
        <v>4757.3599999999997</v>
      </c>
      <c r="K168" s="3" t="s">
        <v>39</v>
      </c>
      <c r="L168" s="3">
        <v>6</v>
      </c>
      <c r="M168" s="3">
        <v>2</v>
      </c>
      <c r="N168" s="3" t="s">
        <v>546</v>
      </c>
      <c r="O168" s="3" t="s">
        <v>545</v>
      </c>
      <c r="P168" s="3" t="s">
        <v>39</v>
      </c>
      <c r="Q168" s="3">
        <v>0.12</v>
      </c>
      <c r="R168" s="3">
        <v>240000</v>
      </c>
      <c r="S168" s="3">
        <v>50</v>
      </c>
      <c r="T168" s="3">
        <v>14</v>
      </c>
      <c r="U168" s="3">
        <v>30</v>
      </c>
    </row>
    <row r="169" spans="1:21" x14ac:dyDescent="0.25">
      <c r="A169" s="3" t="s">
        <v>332</v>
      </c>
      <c r="B169" s="3" t="s">
        <v>333</v>
      </c>
      <c r="C169" s="3" t="str">
        <f t="shared" si="6"/>
        <v>Feb</v>
      </c>
      <c r="D169" s="3">
        <v>42</v>
      </c>
      <c r="E169" s="3" t="str">
        <f t="shared" si="7"/>
        <v>adult</v>
      </c>
      <c r="F169" s="3" t="s">
        <v>54</v>
      </c>
      <c r="G169" s="3" t="s">
        <v>48</v>
      </c>
      <c r="H169" s="3">
        <v>3452.45</v>
      </c>
      <c r="I169" s="3">
        <v>2</v>
      </c>
      <c r="J169" s="3">
        <f t="shared" si="8"/>
        <v>6904.9</v>
      </c>
      <c r="K169" s="3" t="s">
        <v>42</v>
      </c>
      <c r="L169" s="3">
        <v>10</v>
      </c>
      <c r="M169" s="3">
        <v>1</v>
      </c>
      <c r="N169" s="3" t="s">
        <v>546</v>
      </c>
      <c r="O169" s="3" t="s">
        <v>551</v>
      </c>
      <c r="P169" s="3" t="s">
        <v>550</v>
      </c>
      <c r="Q169" s="3">
        <v>0.05</v>
      </c>
      <c r="R169" s="3">
        <v>400000</v>
      </c>
      <c r="S169" s="3">
        <v>90</v>
      </c>
      <c r="T169" s="3">
        <v>7</v>
      </c>
      <c r="U169" s="3">
        <v>40</v>
      </c>
    </row>
    <row r="170" spans="1:21" x14ac:dyDescent="0.25">
      <c r="A170" s="3" t="s">
        <v>334</v>
      </c>
      <c r="B170" s="3" t="s">
        <v>175</v>
      </c>
      <c r="C170" s="3" t="str">
        <f t="shared" si="6"/>
        <v>Nov</v>
      </c>
      <c r="D170" s="3">
        <v>32</v>
      </c>
      <c r="E170" s="3" t="str">
        <f t="shared" si="7"/>
        <v>adult</v>
      </c>
      <c r="F170" s="3" t="s">
        <v>29</v>
      </c>
      <c r="G170" s="3" t="s">
        <v>48</v>
      </c>
      <c r="H170" s="3">
        <v>4424.59</v>
      </c>
      <c r="I170" s="3">
        <v>2</v>
      </c>
      <c r="J170" s="3">
        <f t="shared" si="8"/>
        <v>8849.18</v>
      </c>
      <c r="K170" s="3" t="s">
        <v>39</v>
      </c>
      <c r="L170" s="3">
        <v>9</v>
      </c>
      <c r="M170" s="3">
        <v>4</v>
      </c>
      <c r="N170" s="3" t="s">
        <v>546</v>
      </c>
      <c r="O170" s="3" t="s">
        <v>551</v>
      </c>
      <c r="P170" s="3" t="s">
        <v>39</v>
      </c>
      <c r="Q170" s="3">
        <v>0.05</v>
      </c>
      <c r="R170" s="3">
        <v>400000</v>
      </c>
      <c r="S170" s="3">
        <v>50</v>
      </c>
      <c r="T170" s="3">
        <v>7</v>
      </c>
      <c r="U170" s="3">
        <v>40</v>
      </c>
    </row>
    <row r="171" spans="1:21" x14ac:dyDescent="0.25">
      <c r="A171" s="3" t="s">
        <v>335</v>
      </c>
      <c r="B171" s="3" t="s">
        <v>336</v>
      </c>
      <c r="C171" s="3" t="str">
        <f t="shared" si="6"/>
        <v>Apr</v>
      </c>
      <c r="D171" s="3">
        <v>49</v>
      </c>
      <c r="E171" s="3" t="str">
        <f t="shared" si="7"/>
        <v>adult</v>
      </c>
      <c r="F171" s="3" t="s">
        <v>25</v>
      </c>
      <c r="G171" s="3" t="s">
        <v>35</v>
      </c>
      <c r="H171" s="3">
        <v>273.33999999999997</v>
      </c>
      <c r="I171" s="3">
        <v>3</v>
      </c>
      <c r="J171" s="3">
        <f t="shared" si="8"/>
        <v>820.02</v>
      </c>
      <c r="K171" s="3" t="s">
        <v>36</v>
      </c>
      <c r="L171" s="3">
        <v>1</v>
      </c>
      <c r="M171" s="3">
        <v>5</v>
      </c>
      <c r="N171" s="3" t="s">
        <v>542</v>
      </c>
      <c r="O171" s="3" t="s">
        <v>549</v>
      </c>
      <c r="P171" s="3" t="s">
        <v>11</v>
      </c>
      <c r="Q171" s="3">
        <v>0.18</v>
      </c>
      <c r="R171" s="3">
        <v>450000</v>
      </c>
      <c r="S171" s="3">
        <v>80</v>
      </c>
      <c r="T171" s="3">
        <v>15</v>
      </c>
      <c r="U171" s="3">
        <v>50</v>
      </c>
    </row>
    <row r="172" spans="1:21" x14ac:dyDescent="0.25">
      <c r="A172" s="3" t="s">
        <v>337</v>
      </c>
      <c r="B172" s="3" t="s">
        <v>338</v>
      </c>
      <c r="C172" s="3" t="str">
        <f t="shared" si="6"/>
        <v>Jul</v>
      </c>
      <c r="D172" s="3">
        <v>43</v>
      </c>
      <c r="E172" s="3" t="str">
        <f t="shared" si="7"/>
        <v>adult</v>
      </c>
      <c r="F172" s="3" t="s">
        <v>29</v>
      </c>
      <c r="G172" s="3" t="s">
        <v>35</v>
      </c>
      <c r="H172" s="3">
        <v>2507.02</v>
      </c>
      <c r="I172" s="3">
        <v>5</v>
      </c>
      <c r="J172" s="3">
        <f t="shared" si="8"/>
        <v>12535.1</v>
      </c>
      <c r="K172" s="3" t="s">
        <v>39</v>
      </c>
      <c r="L172" s="3">
        <v>5</v>
      </c>
      <c r="M172" s="3">
        <v>2</v>
      </c>
      <c r="N172" s="3" t="s">
        <v>546</v>
      </c>
      <c r="O172" s="3" t="s">
        <v>549</v>
      </c>
      <c r="P172" s="3" t="s">
        <v>39</v>
      </c>
      <c r="Q172" s="3">
        <v>0.18</v>
      </c>
      <c r="R172" s="3">
        <v>450000</v>
      </c>
      <c r="S172" s="3">
        <v>50</v>
      </c>
      <c r="T172" s="3">
        <v>15</v>
      </c>
      <c r="U172" s="3">
        <v>50</v>
      </c>
    </row>
    <row r="173" spans="1:21" x14ac:dyDescent="0.25">
      <c r="A173" s="3" t="s">
        <v>339</v>
      </c>
      <c r="B173" s="3" t="s">
        <v>152</v>
      </c>
      <c r="C173" s="3" t="str">
        <f t="shared" si="6"/>
        <v>Sep</v>
      </c>
      <c r="D173" s="3">
        <v>20</v>
      </c>
      <c r="E173" s="3" t="str">
        <f t="shared" si="7"/>
        <v>teenager</v>
      </c>
      <c r="F173" s="3" t="s">
        <v>34</v>
      </c>
      <c r="G173" s="3" t="s">
        <v>21</v>
      </c>
      <c r="H173" s="3">
        <v>495.35</v>
      </c>
      <c r="I173" s="3">
        <v>2</v>
      </c>
      <c r="J173" s="3">
        <f t="shared" si="8"/>
        <v>990.7</v>
      </c>
      <c r="K173" s="3" t="s">
        <v>36</v>
      </c>
      <c r="L173" s="3">
        <v>3</v>
      </c>
      <c r="M173" s="3">
        <v>1</v>
      </c>
      <c r="N173" s="3" t="s">
        <v>546</v>
      </c>
      <c r="O173" s="3" t="s">
        <v>543</v>
      </c>
      <c r="P173" s="3" t="s">
        <v>11</v>
      </c>
      <c r="Q173" s="3">
        <v>0.1</v>
      </c>
      <c r="R173" s="3">
        <v>560000</v>
      </c>
      <c r="S173" s="3">
        <v>80</v>
      </c>
      <c r="T173" s="3">
        <v>13</v>
      </c>
      <c r="U173" s="3">
        <v>60</v>
      </c>
    </row>
    <row r="174" spans="1:21" x14ac:dyDescent="0.25">
      <c r="A174" s="3" t="s">
        <v>340</v>
      </c>
      <c r="B174" s="3" t="s">
        <v>214</v>
      </c>
      <c r="C174" s="3" t="str">
        <f t="shared" si="6"/>
        <v>Oct</v>
      </c>
      <c r="D174" s="3">
        <v>22</v>
      </c>
      <c r="E174" s="3" t="str">
        <f t="shared" si="7"/>
        <v>adult</v>
      </c>
      <c r="F174" s="3" t="s">
        <v>54</v>
      </c>
      <c r="G174" s="3" t="s">
        <v>21</v>
      </c>
      <c r="H174" s="3">
        <v>2816.06</v>
      </c>
      <c r="I174" s="3">
        <v>1</v>
      </c>
      <c r="J174" s="3">
        <f t="shared" si="8"/>
        <v>2816.06</v>
      </c>
      <c r="K174" s="3" t="s">
        <v>39</v>
      </c>
      <c r="L174" s="3">
        <v>9</v>
      </c>
      <c r="M174" s="3">
        <v>1</v>
      </c>
      <c r="N174" s="3" t="s">
        <v>546</v>
      </c>
      <c r="O174" s="3" t="s">
        <v>543</v>
      </c>
      <c r="P174" s="3" t="s">
        <v>39</v>
      </c>
      <c r="Q174" s="3">
        <v>0.1</v>
      </c>
      <c r="R174" s="3">
        <v>560000</v>
      </c>
      <c r="S174" s="3">
        <v>50</v>
      </c>
      <c r="T174" s="3">
        <v>13</v>
      </c>
      <c r="U174" s="3">
        <v>60</v>
      </c>
    </row>
    <row r="175" spans="1:21" x14ac:dyDescent="0.25">
      <c r="A175" s="3" t="s">
        <v>341</v>
      </c>
      <c r="B175" s="3" t="s">
        <v>342</v>
      </c>
      <c r="C175" s="3" t="str">
        <f t="shared" si="6"/>
        <v>Feb</v>
      </c>
      <c r="D175" s="3">
        <v>26</v>
      </c>
      <c r="E175" s="3" t="str">
        <f t="shared" si="7"/>
        <v>adult</v>
      </c>
      <c r="F175" s="3" t="s">
        <v>45</v>
      </c>
      <c r="G175" s="3" t="s">
        <v>21</v>
      </c>
      <c r="H175" s="3">
        <v>4688.0200000000004</v>
      </c>
      <c r="I175" s="3">
        <v>2</v>
      </c>
      <c r="J175" s="3">
        <f t="shared" si="8"/>
        <v>9376.0400000000009</v>
      </c>
      <c r="K175" s="3" t="s">
        <v>31</v>
      </c>
      <c r="L175" s="3">
        <v>2</v>
      </c>
      <c r="M175" s="3">
        <v>2</v>
      </c>
      <c r="N175" s="3" t="s">
        <v>546</v>
      </c>
      <c r="O175" s="3" t="s">
        <v>543</v>
      </c>
      <c r="P175" s="3" t="s">
        <v>548</v>
      </c>
      <c r="Q175" s="3">
        <v>0.1</v>
      </c>
      <c r="R175" s="3">
        <v>560000</v>
      </c>
      <c r="S175" s="3">
        <v>50</v>
      </c>
      <c r="T175" s="3">
        <v>13</v>
      </c>
      <c r="U175" s="3">
        <v>60</v>
      </c>
    </row>
    <row r="176" spans="1:21" x14ac:dyDescent="0.25">
      <c r="A176" s="3" t="s">
        <v>343</v>
      </c>
      <c r="B176" s="3" t="s">
        <v>344</v>
      </c>
      <c r="C176" s="3" t="str">
        <f t="shared" si="6"/>
        <v>Feb</v>
      </c>
      <c r="D176" s="3">
        <v>51</v>
      </c>
      <c r="E176" s="3" t="str">
        <f t="shared" si="7"/>
        <v>senior</v>
      </c>
      <c r="F176" s="3" t="s">
        <v>29</v>
      </c>
      <c r="G176" s="3" t="s">
        <v>26</v>
      </c>
      <c r="H176" s="3">
        <v>1545.27</v>
      </c>
      <c r="I176" s="3">
        <v>1</v>
      </c>
      <c r="J176" s="3">
        <f t="shared" si="8"/>
        <v>1545.27</v>
      </c>
      <c r="K176" s="3" t="s">
        <v>42</v>
      </c>
      <c r="L176" s="3">
        <v>5</v>
      </c>
      <c r="M176" s="3">
        <v>4</v>
      </c>
      <c r="N176" s="3" t="s">
        <v>546</v>
      </c>
      <c r="O176" s="3" t="s">
        <v>545</v>
      </c>
      <c r="P176" s="3" t="s">
        <v>550</v>
      </c>
      <c r="Q176" s="3">
        <v>0.12</v>
      </c>
      <c r="R176" s="3">
        <v>240000</v>
      </c>
      <c r="S176" s="3">
        <v>90</v>
      </c>
      <c r="T176" s="3">
        <v>14</v>
      </c>
      <c r="U176" s="3">
        <v>30</v>
      </c>
    </row>
    <row r="177" spans="1:21" x14ac:dyDescent="0.25">
      <c r="A177" s="3" t="s">
        <v>345</v>
      </c>
      <c r="B177" s="3" t="s">
        <v>319</v>
      </c>
      <c r="C177" s="3" t="str">
        <f t="shared" si="6"/>
        <v>Sep</v>
      </c>
      <c r="D177" s="3">
        <v>21</v>
      </c>
      <c r="E177" s="3" t="str">
        <f t="shared" si="7"/>
        <v>adult</v>
      </c>
      <c r="F177" s="3" t="s">
        <v>20</v>
      </c>
      <c r="G177" s="3" t="s">
        <v>51</v>
      </c>
      <c r="H177" s="3">
        <v>4781.78</v>
      </c>
      <c r="I177" s="3">
        <v>3</v>
      </c>
      <c r="J177" s="3">
        <f t="shared" si="8"/>
        <v>14345.34</v>
      </c>
      <c r="K177" s="3" t="s">
        <v>39</v>
      </c>
      <c r="L177" s="3">
        <v>8</v>
      </c>
      <c r="M177" s="3">
        <v>4</v>
      </c>
      <c r="N177" s="3" t="s">
        <v>542</v>
      </c>
      <c r="O177" s="3" t="s">
        <v>552</v>
      </c>
      <c r="P177" s="3" t="s">
        <v>39</v>
      </c>
      <c r="Q177" s="3">
        <v>0.14000000000000001</v>
      </c>
      <c r="R177" s="3">
        <v>300000</v>
      </c>
      <c r="S177" s="3">
        <v>50</v>
      </c>
      <c r="T177" s="3">
        <v>12</v>
      </c>
      <c r="U177" s="3">
        <v>70</v>
      </c>
    </row>
    <row r="178" spans="1:21" x14ac:dyDescent="0.25">
      <c r="A178" s="3" t="s">
        <v>346</v>
      </c>
      <c r="B178" s="3" t="s">
        <v>347</v>
      </c>
      <c r="C178" s="3" t="str">
        <f t="shared" si="6"/>
        <v>Feb</v>
      </c>
      <c r="D178" s="3">
        <v>59</v>
      </c>
      <c r="E178" s="3" t="str">
        <f t="shared" si="7"/>
        <v>senior</v>
      </c>
      <c r="F178" s="3" t="s">
        <v>29</v>
      </c>
      <c r="G178" s="3" t="s">
        <v>35</v>
      </c>
      <c r="H178" s="3">
        <v>1358.01</v>
      </c>
      <c r="I178" s="3">
        <v>5</v>
      </c>
      <c r="J178" s="3">
        <f t="shared" si="8"/>
        <v>6790.05</v>
      </c>
      <c r="K178" s="3" t="s">
        <v>42</v>
      </c>
      <c r="L178" s="3">
        <v>6</v>
      </c>
      <c r="M178" s="3">
        <v>4</v>
      </c>
      <c r="N178" s="3" t="s">
        <v>542</v>
      </c>
      <c r="O178" s="3" t="s">
        <v>549</v>
      </c>
      <c r="P178" s="3" t="s">
        <v>550</v>
      </c>
      <c r="Q178" s="3">
        <v>0.18</v>
      </c>
      <c r="R178" s="3">
        <v>450000</v>
      </c>
      <c r="S178" s="3">
        <v>90</v>
      </c>
      <c r="T178" s="3">
        <v>15</v>
      </c>
      <c r="U178" s="3">
        <v>50</v>
      </c>
    </row>
    <row r="179" spans="1:21" x14ac:dyDescent="0.25">
      <c r="A179" s="3" t="s">
        <v>348</v>
      </c>
      <c r="B179" s="3" t="s">
        <v>300</v>
      </c>
      <c r="C179" s="3" t="str">
        <f t="shared" si="6"/>
        <v>Apr</v>
      </c>
      <c r="D179" s="3">
        <v>19</v>
      </c>
      <c r="E179" s="3" t="str">
        <f t="shared" si="7"/>
        <v>teenager</v>
      </c>
      <c r="F179" s="3" t="s">
        <v>25</v>
      </c>
      <c r="G179" s="3" t="s">
        <v>51</v>
      </c>
      <c r="H179" s="3">
        <v>791.17</v>
      </c>
      <c r="I179" s="3">
        <v>2</v>
      </c>
      <c r="J179" s="3">
        <f t="shared" si="8"/>
        <v>1582.34</v>
      </c>
      <c r="K179" s="3" t="s">
        <v>36</v>
      </c>
      <c r="L179" s="3">
        <v>9</v>
      </c>
      <c r="M179" s="3">
        <v>3</v>
      </c>
      <c r="N179" s="3" t="s">
        <v>546</v>
      </c>
      <c r="O179" s="3" t="s">
        <v>552</v>
      </c>
      <c r="P179" s="3" t="s">
        <v>11</v>
      </c>
      <c r="Q179" s="3">
        <v>0.14000000000000001</v>
      </c>
      <c r="R179" s="3">
        <v>300000</v>
      </c>
      <c r="S179" s="3">
        <v>80</v>
      </c>
      <c r="T179" s="3">
        <v>12</v>
      </c>
      <c r="U179" s="3">
        <v>70</v>
      </c>
    </row>
    <row r="180" spans="1:21" x14ac:dyDescent="0.25">
      <c r="A180" s="3" t="s">
        <v>349</v>
      </c>
      <c r="B180" s="3" t="s">
        <v>350</v>
      </c>
      <c r="C180" s="3" t="str">
        <f t="shared" si="6"/>
        <v>Jul</v>
      </c>
      <c r="D180" s="3">
        <v>32</v>
      </c>
      <c r="E180" s="3" t="str">
        <f t="shared" si="7"/>
        <v>adult</v>
      </c>
      <c r="F180" s="3" t="s">
        <v>20</v>
      </c>
      <c r="G180" s="3" t="s">
        <v>30</v>
      </c>
      <c r="H180" s="3">
        <v>3412.65</v>
      </c>
      <c r="I180" s="3">
        <v>4</v>
      </c>
      <c r="J180" s="3">
        <f t="shared" si="8"/>
        <v>13650.6</v>
      </c>
      <c r="K180" s="3" t="s">
        <v>39</v>
      </c>
      <c r="L180" s="3">
        <v>1</v>
      </c>
      <c r="M180" s="3">
        <v>3</v>
      </c>
      <c r="N180" s="3" t="s">
        <v>546</v>
      </c>
      <c r="O180" s="3" t="s">
        <v>547</v>
      </c>
      <c r="P180" s="3" t="s">
        <v>39</v>
      </c>
      <c r="Q180" s="3">
        <v>0.12</v>
      </c>
      <c r="R180" s="3">
        <v>350000</v>
      </c>
      <c r="S180" s="3">
        <v>50</v>
      </c>
      <c r="T180" s="3">
        <v>12</v>
      </c>
      <c r="U180" s="3">
        <v>100</v>
      </c>
    </row>
    <row r="181" spans="1:21" x14ac:dyDescent="0.25">
      <c r="A181" s="3" t="s">
        <v>351</v>
      </c>
      <c r="B181" s="3" t="s">
        <v>352</v>
      </c>
      <c r="C181" s="3" t="str">
        <f t="shared" si="6"/>
        <v>Apr</v>
      </c>
      <c r="D181" s="3">
        <v>27</v>
      </c>
      <c r="E181" s="3" t="str">
        <f t="shared" si="7"/>
        <v>adult</v>
      </c>
      <c r="F181" s="3" t="s">
        <v>34</v>
      </c>
      <c r="G181" s="3" t="s">
        <v>51</v>
      </c>
      <c r="H181" s="3">
        <v>2375.9899999999998</v>
      </c>
      <c r="I181" s="3">
        <v>5</v>
      </c>
      <c r="J181" s="3">
        <f t="shared" si="8"/>
        <v>11879.949999999999</v>
      </c>
      <c r="K181" s="3" t="s">
        <v>42</v>
      </c>
      <c r="L181" s="3">
        <v>8</v>
      </c>
      <c r="M181" s="3">
        <v>4</v>
      </c>
      <c r="N181" s="3" t="s">
        <v>542</v>
      </c>
      <c r="O181" s="3" t="s">
        <v>552</v>
      </c>
      <c r="P181" s="3" t="s">
        <v>550</v>
      </c>
      <c r="Q181" s="3">
        <v>0.14000000000000001</v>
      </c>
      <c r="R181" s="3">
        <v>300000</v>
      </c>
      <c r="S181" s="3">
        <v>90</v>
      </c>
      <c r="T181" s="3">
        <v>12</v>
      </c>
      <c r="U181" s="3">
        <v>70</v>
      </c>
    </row>
    <row r="182" spans="1:21" x14ac:dyDescent="0.25">
      <c r="A182" s="3" t="s">
        <v>353</v>
      </c>
      <c r="B182" s="3" t="s">
        <v>354</v>
      </c>
      <c r="C182" s="3" t="str">
        <f t="shared" si="6"/>
        <v>Jun</v>
      </c>
      <c r="D182" s="3">
        <v>36</v>
      </c>
      <c r="E182" s="3" t="str">
        <f t="shared" si="7"/>
        <v>adult</v>
      </c>
      <c r="F182" s="3" t="s">
        <v>45</v>
      </c>
      <c r="G182" s="3" t="s">
        <v>26</v>
      </c>
      <c r="H182" s="3">
        <v>2288.9699999999998</v>
      </c>
      <c r="I182" s="3">
        <v>1</v>
      </c>
      <c r="J182" s="3">
        <f t="shared" si="8"/>
        <v>2288.9699999999998</v>
      </c>
      <c r="K182" s="3" t="s">
        <v>22</v>
      </c>
      <c r="L182" s="3">
        <v>2</v>
      </c>
      <c r="M182" s="3">
        <v>1</v>
      </c>
      <c r="N182" s="3" t="s">
        <v>546</v>
      </c>
      <c r="O182" s="3" t="s">
        <v>545</v>
      </c>
      <c r="P182" s="3" t="s">
        <v>544</v>
      </c>
      <c r="Q182" s="3">
        <v>0.12</v>
      </c>
      <c r="R182" s="3">
        <v>240000</v>
      </c>
      <c r="S182" s="3">
        <v>31</v>
      </c>
      <c r="T182" s="3">
        <v>14</v>
      </c>
      <c r="U182" s="3">
        <v>30</v>
      </c>
    </row>
    <row r="183" spans="1:21" x14ac:dyDescent="0.25">
      <c r="A183" s="3" t="s">
        <v>355</v>
      </c>
      <c r="B183" s="3" t="s">
        <v>313</v>
      </c>
      <c r="C183" s="3" t="str">
        <f t="shared" si="6"/>
        <v>Sep</v>
      </c>
      <c r="D183" s="3">
        <v>38</v>
      </c>
      <c r="E183" s="3" t="str">
        <f t="shared" si="7"/>
        <v>adult</v>
      </c>
      <c r="F183" s="3" t="s">
        <v>25</v>
      </c>
      <c r="G183" s="3" t="s">
        <v>21</v>
      </c>
      <c r="H183" s="3">
        <v>1239.43</v>
      </c>
      <c r="I183" s="3">
        <v>1</v>
      </c>
      <c r="J183" s="3">
        <f t="shared" si="8"/>
        <v>1239.43</v>
      </c>
      <c r="K183" s="3" t="s">
        <v>31</v>
      </c>
      <c r="L183" s="3">
        <v>2</v>
      </c>
      <c r="M183" s="3">
        <v>2</v>
      </c>
      <c r="N183" s="3" t="s">
        <v>546</v>
      </c>
      <c r="O183" s="3" t="s">
        <v>543</v>
      </c>
      <c r="P183" s="3" t="s">
        <v>548</v>
      </c>
      <c r="Q183" s="3">
        <v>0.1</v>
      </c>
      <c r="R183" s="3">
        <v>560000</v>
      </c>
      <c r="S183" s="3">
        <v>50</v>
      </c>
      <c r="T183" s="3">
        <v>13</v>
      </c>
      <c r="U183" s="3">
        <v>60</v>
      </c>
    </row>
    <row r="184" spans="1:21" x14ac:dyDescent="0.25">
      <c r="A184" s="3" t="s">
        <v>356</v>
      </c>
      <c r="B184" s="3" t="s">
        <v>357</v>
      </c>
      <c r="C184" s="3" t="str">
        <f t="shared" si="6"/>
        <v>Dec</v>
      </c>
      <c r="D184" s="3">
        <v>18</v>
      </c>
      <c r="E184" s="3" t="str">
        <f t="shared" si="7"/>
        <v>teenager</v>
      </c>
      <c r="F184" s="3" t="s">
        <v>45</v>
      </c>
      <c r="G184" s="3" t="s">
        <v>30</v>
      </c>
      <c r="H184" s="3">
        <v>3557.98</v>
      </c>
      <c r="I184" s="3">
        <v>3</v>
      </c>
      <c r="J184" s="3">
        <f t="shared" si="8"/>
        <v>10673.94</v>
      </c>
      <c r="K184" s="3" t="s">
        <v>36</v>
      </c>
      <c r="L184" s="3">
        <v>5</v>
      </c>
      <c r="M184" s="3">
        <v>1</v>
      </c>
      <c r="N184" s="3" t="s">
        <v>546</v>
      </c>
      <c r="O184" s="3" t="s">
        <v>547</v>
      </c>
      <c r="P184" s="3" t="s">
        <v>11</v>
      </c>
      <c r="Q184" s="3">
        <v>0.12</v>
      </c>
      <c r="R184" s="3">
        <v>350000</v>
      </c>
      <c r="S184" s="3">
        <v>80</v>
      </c>
      <c r="T184" s="3">
        <v>12</v>
      </c>
      <c r="U184" s="3">
        <v>100</v>
      </c>
    </row>
    <row r="185" spans="1:21" x14ac:dyDescent="0.25">
      <c r="A185" s="3" t="s">
        <v>358</v>
      </c>
      <c r="B185" s="3" t="s">
        <v>122</v>
      </c>
      <c r="C185" s="3" t="str">
        <f t="shared" si="6"/>
        <v>Aug</v>
      </c>
      <c r="D185" s="3">
        <v>23</v>
      </c>
      <c r="E185" s="3" t="str">
        <f t="shared" si="7"/>
        <v>adult</v>
      </c>
      <c r="F185" s="3" t="s">
        <v>45</v>
      </c>
      <c r="G185" s="3" t="s">
        <v>48</v>
      </c>
      <c r="H185" s="3">
        <v>3716.02</v>
      </c>
      <c r="I185" s="3">
        <v>5</v>
      </c>
      <c r="J185" s="3">
        <f t="shared" si="8"/>
        <v>18580.099999999999</v>
      </c>
      <c r="K185" s="3" t="s">
        <v>31</v>
      </c>
      <c r="L185" s="3">
        <v>9</v>
      </c>
      <c r="M185" s="3">
        <v>4</v>
      </c>
      <c r="N185" s="3" t="s">
        <v>542</v>
      </c>
      <c r="O185" s="3" t="s">
        <v>551</v>
      </c>
      <c r="P185" s="3" t="s">
        <v>548</v>
      </c>
      <c r="Q185" s="3">
        <v>0.05</v>
      </c>
      <c r="R185" s="3">
        <v>400000</v>
      </c>
      <c r="S185" s="3">
        <v>50</v>
      </c>
      <c r="T185" s="3">
        <v>7</v>
      </c>
      <c r="U185" s="3">
        <v>40</v>
      </c>
    </row>
    <row r="186" spans="1:21" x14ac:dyDescent="0.25">
      <c r="A186" s="3" t="s">
        <v>359</v>
      </c>
      <c r="B186" s="3" t="s">
        <v>360</v>
      </c>
      <c r="C186" s="3" t="str">
        <f t="shared" si="6"/>
        <v>Nov</v>
      </c>
      <c r="D186" s="3">
        <v>41</v>
      </c>
      <c r="E186" s="3" t="str">
        <f t="shared" si="7"/>
        <v>adult</v>
      </c>
      <c r="F186" s="3" t="s">
        <v>20</v>
      </c>
      <c r="G186" s="3" t="s">
        <v>30</v>
      </c>
      <c r="H186" s="3">
        <v>766.22</v>
      </c>
      <c r="I186" s="3">
        <v>5</v>
      </c>
      <c r="J186" s="3">
        <f t="shared" si="8"/>
        <v>3831.1000000000004</v>
      </c>
      <c r="K186" s="3" t="s">
        <v>42</v>
      </c>
      <c r="L186" s="3">
        <v>9</v>
      </c>
      <c r="M186" s="3">
        <v>4</v>
      </c>
      <c r="N186" s="3" t="s">
        <v>542</v>
      </c>
      <c r="O186" s="3" t="s">
        <v>547</v>
      </c>
      <c r="P186" s="3" t="s">
        <v>550</v>
      </c>
      <c r="Q186" s="3">
        <v>0.12</v>
      </c>
      <c r="R186" s="3">
        <v>350000</v>
      </c>
      <c r="S186" s="3">
        <v>90</v>
      </c>
      <c r="T186" s="3">
        <v>12</v>
      </c>
      <c r="U186" s="3">
        <v>100</v>
      </c>
    </row>
    <row r="187" spans="1:21" x14ac:dyDescent="0.25">
      <c r="A187" s="3" t="s">
        <v>361</v>
      </c>
      <c r="B187" s="3" t="s">
        <v>362</v>
      </c>
      <c r="C187" s="3" t="str">
        <f t="shared" si="6"/>
        <v>Sep</v>
      </c>
      <c r="D187" s="3">
        <v>50</v>
      </c>
      <c r="E187" s="3" t="str">
        <f t="shared" si="7"/>
        <v>adult</v>
      </c>
      <c r="F187" s="3" t="s">
        <v>25</v>
      </c>
      <c r="G187" s="3" t="s">
        <v>48</v>
      </c>
      <c r="H187" s="3">
        <v>1533.37</v>
      </c>
      <c r="I187" s="3">
        <v>1</v>
      </c>
      <c r="J187" s="3">
        <f t="shared" si="8"/>
        <v>1533.37</v>
      </c>
      <c r="K187" s="3" t="s">
        <v>36</v>
      </c>
      <c r="L187" s="3">
        <v>9</v>
      </c>
      <c r="M187" s="3">
        <v>1</v>
      </c>
      <c r="N187" s="3" t="s">
        <v>546</v>
      </c>
      <c r="O187" s="3" t="s">
        <v>551</v>
      </c>
      <c r="P187" s="3" t="s">
        <v>11</v>
      </c>
      <c r="Q187" s="3">
        <v>0.05</v>
      </c>
      <c r="R187" s="3">
        <v>400000</v>
      </c>
      <c r="S187" s="3">
        <v>80</v>
      </c>
      <c r="T187" s="3">
        <v>7</v>
      </c>
      <c r="U187" s="3">
        <v>40</v>
      </c>
    </row>
    <row r="188" spans="1:21" x14ac:dyDescent="0.25">
      <c r="A188" s="3" t="s">
        <v>363</v>
      </c>
      <c r="B188" s="3" t="s">
        <v>364</v>
      </c>
      <c r="C188" s="3" t="str">
        <f t="shared" si="6"/>
        <v>Oct</v>
      </c>
      <c r="D188" s="3">
        <v>31</v>
      </c>
      <c r="E188" s="3" t="str">
        <f t="shared" si="7"/>
        <v>adult</v>
      </c>
      <c r="F188" s="3" t="s">
        <v>45</v>
      </c>
      <c r="G188" s="3" t="s">
        <v>48</v>
      </c>
      <c r="H188" s="3">
        <v>2303.31</v>
      </c>
      <c r="I188" s="3">
        <v>4</v>
      </c>
      <c r="J188" s="3">
        <f t="shared" si="8"/>
        <v>9213.24</v>
      </c>
      <c r="K188" s="3" t="s">
        <v>36</v>
      </c>
      <c r="L188" s="3">
        <v>7</v>
      </c>
      <c r="M188" s="3">
        <v>3</v>
      </c>
      <c r="N188" s="3" t="s">
        <v>546</v>
      </c>
      <c r="O188" s="3" t="s">
        <v>551</v>
      </c>
      <c r="P188" s="3" t="s">
        <v>11</v>
      </c>
      <c r="Q188" s="3">
        <v>0.05</v>
      </c>
      <c r="R188" s="3">
        <v>400000</v>
      </c>
      <c r="S188" s="3">
        <v>80</v>
      </c>
      <c r="T188" s="3">
        <v>7</v>
      </c>
      <c r="U188" s="3">
        <v>40</v>
      </c>
    </row>
    <row r="189" spans="1:21" x14ac:dyDescent="0.25">
      <c r="A189" s="3" t="s">
        <v>365</v>
      </c>
      <c r="B189" s="3" t="s">
        <v>50</v>
      </c>
      <c r="C189" s="3" t="str">
        <f t="shared" si="6"/>
        <v>Jun</v>
      </c>
      <c r="D189" s="3">
        <v>29</v>
      </c>
      <c r="E189" s="3" t="str">
        <f t="shared" si="7"/>
        <v>adult</v>
      </c>
      <c r="F189" s="3" t="s">
        <v>25</v>
      </c>
      <c r="G189" s="3" t="s">
        <v>48</v>
      </c>
      <c r="H189" s="3">
        <v>3105.81</v>
      </c>
      <c r="I189" s="3">
        <v>3</v>
      </c>
      <c r="J189" s="3">
        <f t="shared" si="8"/>
        <v>9317.43</v>
      </c>
      <c r="K189" s="3" t="s">
        <v>31</v>
      </c>
      <c r="L189" s="3">
        <v>5</v>
      </c>
      <c r="M189" s="3">
        <v>5</v>
      </c>
      <c r="N189" s="3" t="s">
        <v>542</v>
      </c>
      <c r="O189" s="3" t="s">
        <v>551</v>
      </c>
      <c r="P189" s="3" t="s">
        <v>548</v>
      </c>
      <c r="Q189" s="3">
        <v>0.05</v>
      </c>
      <c r="R189" s="3">
        <v>400000</v>
      </c>
      <c r="S189" s="3">
        <v>50</v>
      </c>
      <c r="T189" s="3">
        <v>7</v>
      </c>
      <c r="U189" s="3">
        <v>40</v>
      </c>
    </row>
    <row r="190" spans="1:21" x14ac:dyDescent="0.25">
      <c r="A190" s="3" t="s">
        <v>366</v>
      </c>
      <c r="B190" s="3" t="s">
        <v>148</v>
      </c>
      <c r="C190" s="3" t="str">
        <f t="shared" si="6"/>
        <v>Sep</v>
      </c>
      <c r="D190" s="3">
        <v>44</v>
      </c>
      <c r="E190" s="3" t="str">
        <f t="shared" si="7"/>
        <v>adult</v>
      </c>
      <c r="F190" s="3" t="s">
        <v>54</v>
      </c>
      <c r="G190" s="3" t="s">
        <v>35</v>
      </c>
      <c r="H190" s="3">
        <v>4908.72</v>
      </c>
      <c r="I190" s="3">
        <v>5</v>
      </c>
      <c r="J190" s="3">
        <f t="shared" si="8"/>
        <v>24543.600000000002</v>
      </c>
      <c r="K190" s="3" t="s">
        <v>31</v>
      </c>
      <c r="L190" s="3">
        <v>1</v>
      </c>
      <c r="M190" s="3">
        <v>4</v>
      </c>
      <c r="N190" s="3" t="s">
        <v>542</v>
      </c>
      <c r="O190" s="3" t="s">
        <v>549</v>
      </c>
      <c r="P190" s="3" t="s">
        <v>548</v>
      </c>
      <c r="Q190" s="3">
        <v>0.18</v>
      </c>
      <c r="R190" s="3">
        <v>450000</v>
      </c>
      <c r="S190" s="3">
        <v>50</v>
      </c>
      <c r="T190" s="3">
        <v>15</v>
      </c>
      <c r="U190" s="3">
        <v>50</v>
      </c>
    </row>
    <row r="191" spans="1:21" x14ac:dyDescent="0.25">
      <c r="A191" s="3" t="s">
        <v>367</v>
      </c>
      <c r="B191" s="3" t="s">
        <v>166</v>
      </c>
      <c r="C191" s="3" t="str">
        <f t="shared" si="6"/>
        <v>Aug</v>
      </c>
      <c r="D191" s="3">
        <v>42</v>
      </c>
      <c r="E191" s="3" t="str">
        <f t="shared" si="7"/>
        <v>adult</v>
      </c>
      <c r="F191" s="3" t="s">
        <v>20</v>
      </c>
      <c r="G191" s="3" t="s">
        <v>30</v>
      </c>
      <c r="H191" s="3">
        <v>2817.36</v>
      </c>
      <c r="I191" s="3">
        <v>3</v>
      </c>
      <c r="J191" s="3">
        <f t="shared" si="8"/>
        <v>8452.08</v>
      </c>
      <c r="K191" s="3" t="s">
        <v>39</v>
      </c>
      <c r="L191" s="3">
        <v>9</v>
      </c>
      <c r="M191" s="3">
        <v>1</v>
      </c>
      <c r="N191" s="3" t="s">
        <v>546</v>
      </c>
      <c r="O191" s="3" t="s">
        <v>547</v>
      </c>
      <c r="P191" s="3" t="s">
        <v>39</v>
      </c>
      <c r="Q191" s="3">
        <v>0.12</v>
      </c>
      <c r="R191" s="3">
        <v>350000</v>
      </c>
      <c r="S191" s="3">
        <v>50</v>
      </c>
      <c r="T191" s="3">
        <v>12</v>
      </c>
      <c r="U191" s="3">
        <v>100</v>
      </c>
    </row>
    <row r="192" spans="1:21" x14ac:dyDescent="0.25">
      <c r="A192" s="3" t="s">
        <v>368</v>
      </c>
      <c r="B192" s="3" t="s">
        <v>331</v>
      </c>
      <c r="C192" s="3" t="str">
        <f t="shared" si="6"/>
        <v>Aug</v>
      </c>
      <c r="D192" s="3">
        <v>60</v>
      </c>
      <c r="E192" s="3" t="str">
        <f t="shared" si="7"/>
        <v>senior</v>
      </c>
      <c r="F192" s="3" t="s">
        <v>20</v>
      </c>
      <c r="G192" s="3" t="s">
        <v>30</v>
      </c>
      <c r="H192" s="3">
        <v>4861.29</v>
      </c>
      <c r="I192" s="3">
        <v>1</v>
      </c>
      <c r="J192" s="3">
        <f t="shared" si="8"/>
        <v>4861.29</v>
      </c>
      <c r="K192" s="3" t="s">
        <v>22</v>
      </c>
      <c r="L192" s="3">
        <v>4</v>
      </c>
      <c r="M192" s="3">
        <v>3</v>
      </c>
      <c r="N192" s="3" t="s">
        <v>546</v>
      </c>
      <c r="O192" s="3" t="s">
        <v>547</v>
      </c>
      <c r="P192" s="3" t="s">
        <v>544</v>
      </c>
      <c r="Q192" s="3">
        <v>0.12</v>
      </c>
      <c r="R192" s="3">
        <v>350000</v>
      </c>
      <c r="S192" s="3">
        <v>31</v>
      </c>
      <c r="T192" s="3">
        <v>12</v>
      </c>
      <c r="U192" s="3">
        <v>100</v>
      </c>
    </row>
    <row r="193" spans="1:21" x14ac:dyDescent="0.25">
      <c r="A193" s="3" t="s">
        <v>369</v>
      </c>
      <c r="B193" s="3" t="s">
        <v>370</v>
      </c>
      <c r="C193" s="3" t="str">
        <f t="shared" si="6"/>
        <v>Jun</v>
      </c>
      <c r="D193" s="3">
        <v>57</v>
      </c>
      <c r="E193" s="3" t="str">
        <f t="shared" si="7"/>
        <v>senior</v>
      </c>
      <c r="F193" s="3" t="s">
        <v>20</v>
      </c>
      <c r="G193" s="3" t="s">
        <v>30</v>
      </c>
      <c r="H193" s="3">
        <v>2440.0700000000002</v>
      </c>
      <c r="I193" s="3">
        <v>5</v>
      </c>
      <c r="J193" s="3">
        <f t="shared" si="8"/>
        <v>12200.35</v>
      </c>
      <c r="K193" s="3" t="s">
        <v>42</v>
      </c>
      <c r="L193" s="3">
        <v>5</v>
      </c>
      <c r="M193" s="3">
        <v>3</v>
      </c>
      <c r="N193" s="3" t="s">
        <v>546</v>
      </c>
      <c r="O193" s="3" t="s">
        <v>547</v>
      </c>
      <c r="P193" s="3" t="s">
        <v>550</v>
      </c>
      <c r="Q193" s="3">
        <v>0.12</v>
      </c>
      <c r="R193" s="3">
        <v>350000</v>
      </c>
      <c r="S193" s="3">
        <v>90</v>
      </c>
      <c r="T193" s="3">
        <v>12</v>
      </c>
      <c r="U193" s="3">
        <v>100</v>
      </c>
    </row>
    <row r="194" spans="1:21" x14ac:dyDescent="0.25">
      <c r="A194" s="3" t="s">
        <v>371</v>
      </c>
      <c r="B194" s="3" t="s">
        <v>228</v>
      </c>
      <c r="C194" s="3" t="str">
        <f t="shared" ref="C194:C257" si="9">TEXT(B194,"mmm")</f>
        <v>Dec</v>
      </c>
      <c r="D194" s="3">
        <v>51</v>
      </c>
      <c r="E194" s="3" t="str">
        <f t="shared" si="7"/>
        <v>senior</v>
      </c>
      <c r="F194" s="3" t="s">
        <v>54</v>
      </c>
      <c r="G194" s="3" t="s">
        <v>35</v>
      </c>
      <c r="H194" s="3">
        <v>2727.42</v>
      </c>
      <c r="I194" s="3">
        <v>4</v>
      </c>
      <c r="J194" s="3">
        <f t="shared" si="8"/>
        <v>10909.68</v>
      </c>
      <c r="K194" s="3" t="s">
        <v>36</v>
      </c>
      <c r="L194" s="3">
        <v>9</v>
      </c>
      <c r="M194" s="3">
        <v>3</v>
      </c>
      <c r="N194" s="3" t="s">
        <v>546</v>
      </c>
      <c r="O194" s="3" t="s">
        <v>549</v>
      </c>
      <c r="P194" s="3" t="s">
        <v>11</v>
      </c>
      <c r="Q194" s="3">
        <v>0.18</v>
      </c>
      <c r="R194" s="3">
        <v>450000</v>
      </c>
      <c r="S194" s="3">
        <v>80</v>
      </c>
      <c r="T194" s="3">
        <v>15</v>
      </c>
      <c r="U194" s="3">
        <v>50</v>
      </c>
    </row>
    <row r="195" spans="1:21" x14ac:dyDescent="0.25">
      <c r="A195" s="3" t="s">
        <v>372</v>
      </c>
      <c r="B195" s="3" t="s">
        <v>357</v>
      </c>
      <c r="C195" s="3" t="str">
        <f t="shared" si="9"/>
        <v>Dec</v>
      </c>
      <c r="D195" s="3">
        <v>20</v>
      </c>
      <c r="E195" s="3" t="str">
        <f t="shared" ref="E195:E258" si="10">IF(D195&gt;50,"senior",IF(D195&gt;=21,"adult","teenager"))</f>
        <v>teenager</v>
      </c>
      <c r="F195" s="3" t="s">
        <v>45</v>
      </c>
      <c r="G195" s="3" t="s">
        <v>30</v>
      </c>
      <c r="H195" s="3">
        <v>4120.1499999999996</v>
      </c>
      <c r="I195" s="3">
        <v>1</v>
      </c>
      <c r="J195" s="3">
        <f t="shared" ref="J195:J258" si="11">H195*I195</f>
        <v>4120.1499999999996</v>
      </c>
      <c r="K195" s="3" t="s">
        <v>22</v>
      </c>
      <c r="L195" s="3">
        <v>3</v>
      </c>
      <c r="M195" s="3">
        <v>4</v>
      </c>
      <c r="N195" s="3" t="s">
        <v>546</v>
      </c>
      <c r="O195" s="3" t="s">
        <v>547</v>
      </c>
      <c r="P195" s="3" t="s">
        <v>544</v>
      </c>
      <c r="Q195" s="3">
        <v>0.12</v>
      </c>
      <c r="R195" s="3">
        <v>350000</v>
      </c>
      <c r="S195" s="3">
        <v>31</v>
      </c>
      <c r="T195" s="3">
        <v>12</v>
      </c>
      <c r="U195" s="3">
        <v>100</v>
      </c>
    </row>
    <row r="196" spans="1:21" x14ac:dyDescent="0.25">
      <c r="A196" s="3" t="s">
        <v>373</v>
      </c>
      <c r="B196" s="3" t="s">
        <v>374</v>
      </c>
      <c r="C196" s="3" t="str">
        <f t="shared" si="9"/>
        <v>Oct</v>
      </c>
      <c r="D196" s="3">
        <v>60</v>
      </c>
      <c r="E196" s="3" t="str">
        <f t="shared" si="10"/>
        <v>senior</v>
      </c>
      <c r="F196" s="3" t="s">
        <v>45</v>
      </c>
      <c r="G196" s="3" t="s">
        <v>35</v>
      </c>
      <c r="H196" s="3">
        <v>3473.2</v>
      </c>
      <c r="I196" s="3">
        <v>2</v>
      </c>
      <c r="J196" s="3">
        <f t="shared" si="11"/>
        <v>6946.4</v>
      </c>
      <c r="K196" s="3" t="s">
        <v>31</v>
      </c>
      <c r="L196" s="3">
        <v>3</v>
      </c>
      <c r="M196" s="3">
        <v>2</v>
      </c>
      <c r="N196" s="3" t="s">
        <v>546</v>
      </c>
      <c r="O196" s="3" t="s">
        <v>549</v>
      </c>
      <c r="P196" s="3" t="s">
        <v>548</v>
      </c>
      <c r="Q196" s="3">
        <v>0.18</v>
      </c>
      <c r="R196" s="3">
        <v>450000</v>
      </c>
      <c r="S196" s="3">
        <v>50</v>
      </c>
      <c r="T196" s="3">
        <v>15</v>
      </c>
      <c r="U196" s="3">
        <v>50</v>
      </c>
    </row>
    <row r="197" spans="1:21" x14ac:dyDescent="0.25">
      <c r="A197" s="3" t="s">
        <v>375</v>
      </c>
      <c r="B197" s="3" t="s">
        <v>376</v>
      </c>
      <c r="C197" s="3" t="str">
        <f t="shared" si="9"/>
        <v>Dec</v>
      </c>
      <c r="D197" s="3">
        <v>20</v>
      </c>
      <c r="E197" s="3" t="str">
        <f t="shared" si="10"/>
        <v>teenager</v>
      </c>
      <c r="F197" s="3" t="s">
        <v>29</v>
      </c>
      <c r="G197" s="3" t="s">
        <v>51</v>
      </c>
      <c r="H197" s="3">
        <v>3405.19</v>
      </c>
      <c r="I197" s="3">
        <v>4</v>
      </c>
      <c r="J197" s="3">
        <f t="shared" si="11"/>
        <v>13620.76</v>
      </c>
      <c r="K197" s="3" t="s">
        <v>36</v>
      </c>
      <c r="L197" s="3">
        <v>10</v>
      </c>
      <c r="M197" s="3">
        <v>5</v>
      </c>
      <c r="N197" s="3" t="s">
        <v>542</v>
      </c>
      <c r="O197" s="3" t="s">
        <v>552</v>
      </c>
      <c r="P197" s="3" t="s">
        <v>11</v>
      </c>
      <c r="Q197" s="3">
        <v>0.14000000000000001</v>
      </c>
      <c r="R197" s="3">
        <v>300000</v>
      </c>
      <c r="S197" s="3">
        <v>80</v>
      </c>
      <c r="T197" s="3">
        <v>12</v>
      </c>
      <c r="U197" s="3">
        <v>70</v>
      </c>
    </row>
    <row r="198" spans="1:21" x14ac:dyDescent="0.25">
      <c r="A198" s="3" t="s">
        <v>377</v>
      </c>
      <c r="B198" s="3" t="s">
        <v>88</v>
      </c>
      <c r="C198" s="3" t="str">
        <f t="shared" si="9"/>
        <v>Oct</v>
      </c>
      <c r="D198" s="3">
        <v>20</v>
      </c>
      <c r="E198" s="3" t="str">
        <f t="shared" si="10"/>
        <v>teenager</v>
      </c>
      <c r="F198" s="3" t="s">
        <v>29</v>
      </c>
      <c r="G198" s="3" t="s">
        <v>51</v>
      </c>
      <c r="H198" s="3">
        <v>4597.17</v>
      </c>
      <c r="I198" s="3">
        <v>1</v>
      </c>
      <c r="J198" s="3">
        <f t="shared" si="11"/>
        <v>4597.17</v>
      </c>
      <c r="K198" s="3" t="s">
        <v>36</v>
      </c>
      <c r="L198" s="3">
        <v>2</v>
      </c>
      <c r="M198" s="3">
        <v>1</v>
      </c>
      <c r="N198" s="3" t="s">
        <v>546</v>
      </c>
      <c r="O198" s="3" t="s">
        <v>552</v>
      </c>
      <c r="P198" s="3" t="s">
        <v>11</v>
      </c>
      <c r="Q198" s="3">
        <v>0.14000000000000001</v>
      </c>
      <c r="R198" s="3">
        <v>300000</v>
      </c>
      <c r="S198" s="3">
        <v>80</v>
      </c>
      <c r="T198" s="3">
        <v>12</v>
      </c>
      <c r="U198" s="3">
        <v>70</v>
      </c>
    </row>
    <row r="199" spans="1:21" x14ac:dyDescent="0.25">
      <c r="A199" s="3" t="s">
        <v>378</v>
      </c>
      <c r="B199" s="3" t="s">
        <v>379</v>
      </c>
      <c r="C199" s="3" t="str">
        <f t="shared" si="9"/>
        <v>Aug</v>
      </c>
      <c r="D199" s="3">
        <v>47</v>
      </c>
      <c r="E199" s="3" t="str">
        <f t="shared" si="10"/>
        <v>adult</v>
      </c>
      <c r="F199" s="3" t="s">
        <v>45</v>
      </c>
      <c r="G199" s="3" t="s">
        <v>35</v>
      </c>
      <c r="H199" s="3">
        <v>1173.99</v>
      </c>
      <c r="I199" s="3">
        <v>2</v>
      </c>
      <c r="J199" s="3">
        <f t="shared" si="11"/>
        <v>2347.98</v>
      </c>
      <c r="K199" s="3" t="s">
        <v>36</v>
      </c>
      <c r="L199" s="3">
        <v>3</v>
      </c>
      <c r="M199" s="3">
        <v>2</v>
      </c>
      <c r="N199" s="3" t="s">
        <v>546</v>
      </c>
      <c r="O199" s="3" t="s">
        <v>549</v>
      </c>
      <c r="P199" s="3" t="s">
        <v>11</v>
      </c>
      <c r="Q199" s="3">
        <v>0.18</v>
      </c>
      <c r="R199" s="3">
        <v>450000</v>
      </c>
      <c r="S199" s="3">
        <v>80</v>
      </c>
      <c r="T199" s="3">
        <v>15</v>
      </c>
      <c r="U199" s="3">
        <v>50</v>
      </c>
    </row>
    <row r="200" spans="1:21" x14ac:dyDescent="0.25">
      <c r="A200" s="3" t="s">
        <v>380</v>
      </c>
      <c r="B200" s="3" t="s">
        <v>381</v>
      </c>
      <c r="C200" s="3" t="str">
        <f t="shared" si="9"/>
        <v>May</v>
      </c>
      <c r="D200" s="3">
        <v>55</v>
      </c>
      <c r="E200" s="3" t="str">
        <f t="shared" si="10"/>
        <v>senior</v>
      </c>
      <c r="F200" s="3" t="s">
        <v>54</v>
      </c>
      <c r="G200" s="3" t="s">
        <v>48</v>
      </c>
      <c r="H200" s="3">
        <v>2657.07</v>
      </c>
      <c r="I200" s="3">
        <v>4</v>
      </c>
      <c r="J200" s="3">
        <f t="shared" si="11"/>
        <v>10628.28</v>
      </c>
      <c r="K200" s="3" t="s">
        <v>36</v>
      </c>
      <c r="L200" s="3">
        <v>10</v>
      </c>
      <c r="M200" s="3">
        <v>2</v>
      </c>
      <c r="N200" s="3" t="s">
        <v>546</v>
      </c>
      <c r="O200" s="3" t="s">
        <v>551</v>
      </c>
      <c r="P200" s="3" t="s">
        <v>11</v>
      </c>
      <c r="Q200" s="3">
        <v>0.05</v>
      </c>
      <c r="R200" s="3">
        <v>400000</v>
      </c>
      <c r="S200" s="3">
        <v>80</v>
      </c>
      <c r="T200" s="3">
        <v>7</v>
      </c>
      <c r="U200" s="3">
        <v>40</v>
      </c>
    </row>
    <row r="201" spans="1:21" x14ac:dyDescent="0.25">
      <c r="A201" s="3" t="s">
        <v>382</v>
      </c>
      <c r="B201" s="3" t="s">
        <v>383</v>
      </c>
      <c r="C201" s="3" t="str">
        <f t="shared" si="9"/>
        <v>Nov</v>
      </c>
      <c r="D201" s="3">
        <v>19</v>
      </c>
      <c r="E201" s="3" t="str">
        <f t="shared" si="10"/>
        <v>teenager</v>
      </c>
      <c r="F201" s="3" t="s">
        <v>34</v>
      </c>
      <c r="G201" s="3" t="s">
        <v>26</v>
      </c>
      <c r="H201" s="3">
        <v>612.82000000000005</v>
      </c>
      <c r="I201" s="3">
        <v>2</v>
      </c>
      <c r="J201" s="3">
        <f t="shared" si="11"/>
        <v>1225.6400000000001</v>
      </c>
      <c r="K201" s="3" t="s">
        <v>39</v>
      </c>
      <c r="L201" s="3">
        <v>4</v>
      </c>
      <c r="M201" s="3">
        <v>1</v>
      </c>
      <c r="N201" s="3" t="s">
        <v>546</v>
      </c>
      <c r="O201" s="3" t="s">
        <v>545</v>
      </c>
      <c r="P201" s="3" t="s">
        <v>39</v>
      </c>
      <c r="Q201" s="3">
        <v>0.12</v>
      </c>
      <c r="R201" s="3">
        <v>240000</v>
      </c>
      <c r="S201" s="3">
        <v>50</v>
      </c>
      <c r="T201" s="3">
        <v>14</v>
      </c>
      <c r="U201" s="3">
        <v>30</v>
      </c>
    </row>
    <row r="202" spans="1:21" x14ac:dyDescent="0.25">
      <c r="A202" s="3" t="s">
        <v>384</v>
      </c>
      <c r="B202" s="3" t="s">
        <v>383</v>
      </c>
      <c r="C202" s="3" t="str">
        <f t="shared" si="9"/>
        <v>Nov</v>
      </c>
      <c r="D202" s="3">
        <v>52</v>
      </c>
      <c r="E202" s="3" t="str">
        <f t="shared" si="10"/>
        <v>senior</v>
      </c>
      <c r="F202" s="3" t="s">
        <v>45</v>
      </c>
      <c r="G202" s="3" t="s">
        <v>30</v>
      </c>
      <c r="H202" s="3">
        <v>1465.87</v>
      </c>
      <c r="I202" s="3">
        <v>4</v>
      </c>
      <c r="J202" s="3">
        <f t="shared" si="11"/>
        <v>5863.48</v>
      </c>
      <c r="K202" s="3" t="s">
        <v>42</v>
      </c>
      <c r="L202" s="3">
        <v>7</v>
      </c>
      <c r="M202" s="3">
        <v>3</v>
      </c>
      <c r="N202" s="3" t="s">
        <v>546</v>
      </c>
      <c r="O202" s="3" t="s">
        <v>547</v>
      </c>
      <c r="P202" s="3" t="s">
        <v>550</v>
      </c>
      <c r="Q202" s="3">
        <v>0.12</v>
      </c>
      <c r="R202" s="3">
        <v>350000</v>
      </c>
      <c r="S202" s="3">
        <v>90</v>
      </c>
      <c r="T202" s="3">
        <v>12</v>
      </c>
      <c r="U202" s="3">
        <v>100</v>
      </c>
    </row>
    <row r="203" spans="1:21" x14ac:dyDescent="0.25">
      <c r="A203" s="3" t="s">
        <v>385</v>
      </c>
      <c r="B203" s="3" t="s">
        <v>386</v>
      </c>
      <c r="C203" s="3" t="str">
        <f t="shared" si="9"/>
        <v>May</v>
      </c>
      <c r="D203" s="3">
        <v>59</v>
      </c>
      <c r="E203" s="3" t="str">
        <f t="shared" si="10"/>
        <v>senior</v>
      </c>
      <c r="F203" s="3" t="s">
        <v>45</v>
      </c>
      <c r="G203" s="3" t="s">
        <v>26</v>
      </c>
      <c r="H203" s="3">
        <v>2777.35</v>
      </c>
      <c r="I203" s="3">
        <v>1</v>
      </c>
      <c r="J203" s="3">
        <f t="shared" si="11"/>
        <v>2777.35</v>
      </c>
      <c r="K203" s="3" t="s">
        <v>31</v>
      </c>
      <c r="L203" s="3">
        <v>6</v>
      </c>
      <c r="M203" s="3">
        <v>4</v>
      </c>
      <c r="N203" s="3" t="s">
        <v>546</v>
      </c>
      <c r="O203" s="3" t="s">
        <v>545</v>
      </c>
      <c r="P203" s="3" t="s">
        <v>548</v>
      </c>
      <c r="Q203" s="3">
        <v>0.12</v>
      </c>
      <c r="R203" s="3">
        <v>240000</v>
      </c>
      <c r="S203" s="3">
        <v>50</v>
      </c>
      <c r="T203" s="3">
        <v>14</v>
      </c>
      <c r="U203" s="3">
        <v>30</v>
      </c>
    </row>
    <row r="204" spans="1:21" x14ac:dyDescent="0.25">
      <c r="A204" s="3" t="s">
        <v>387</v>
      </c>
      <c r="B204" s="3" t="s">
        <v>388</v>
      </c>
      <c r="C204" s="3" t="str">
        <f t="shared" si="9"/>
        <v>Jun</v>
      </c>
      <c r="D204" s="3">
        <v>27</v>
      </c>
      <c r="E204" s="3" t="str">
        <f t="shared" si="10"/>
        <v>adult</v>
      </c>
      <c r="F204" s="3" t="s">
        <v>54</v>
      </c>
      <c r="G204" s="3" t="s">
        <v>51</v>
      </c>
      <c r="H204" s="3">
        <v>2052.02</v>
      </c>
      <c r="I204" s="3">
        <v>2</v>
      </c>
      <c r="J204" s="3">
        <f t="shared" si="11"/>
        <v>4104.04</v>
      </c>
      <c r="K204" s="3" t="s">
        <v>42</v>
      </c>
      <c r="L204" s="3">
        <v>1</v>
      </c>
      <c r="M204" s="3">
        <v>3</v>
      </c>
      <c r="N204" s="3" t="s">
        <v>546</v>
      </c>
      <c r="O204" s="3" t="s">
        <v>552</v>
      </c>
      <c r="P204" s="3" t="s">
        <v>550</v>
      </c>
      <c r="Q204" s="3">
        <v>0.14000000000000001</v>
      </c>
      <c r="R204" s="3">
        <v>300000</v>
      </c>
      <c r="S204" s="3">
        <v>90</v>
      </c>
      <c r="T204" s="3">
        <v>12</v>
      </c>
      <c r="U204" s="3">
        <v>70</v>
      </c>
    </row>
    <row r="205" spans="1:21" x14ac:dyDescent="0.25">
      <c r="A205" s="3" t="s">
        <v>389</v>
      </c>
      <c r="B205" s="3" t="s">
        <v>390</v>
      </c>
      <c r="C205" s="3" t="str">
        <f t="shared" si="9"/>
        <v>Aug</v>
      </c>
      <c r="D205" s="3">
        <v>32</v>
      </c>
      <c r="E205" s="3" t="str">
        <f t="shared" si="10"/>
        <v>adult</v>
      </c>
      <c r="F205" s="3" t="s">
        <v>45</v>
      </c>
      <c r="G205" s="3" t="s">
        <v>26</v>
      </c>
      <c r="H205" s="3">
        <v>2557.85</v>
      </c>
      <c r="I205" s="3">
        <v>5</v>
      </c>
      <c r="J205" s="3">
        <f t="shared" si="11"/>
        <v>12789.25</v>
      </c>
      <c r="K205" s="3" t="s">
        <v>31</v>
      </c>
      <c r="L205" s="3">
        <v>6</v>
      </c>
      <c r="M205" s="3">
        <v>4</v>
      </c>
      <c r="N205" s="3" t="s">
        <v>542</v>
      </c>
      <c r="O205" s="3" t="s">
        <v>545</v>
      </c>
      <c r="P205" s="3" t="s">
        <v>548</v>
      </c>
      <c r="Q205" s="3">
        <v>0.12</v>
      </c>
      <c r="R205" s="3">
        <v>240000</v>
      </c>
      <c r="S205" s="3">
        <v>50</v>
      </c>
      <c r="T205" s="3">
        <v>14</v>
      </c>
      <c r="U205" s="3">
        <v>30</v>
      </c>
    </row>
    <row r="206" spans="1:21" x14ac:dyDescent="0.25">
      <c r="A206" s="3" t="s">
        <v>391</v>
      </c>
      <c r="B206" s="3" t="s">
        <v>388</v>
      </c>
      <c r="C206" s="3" t="str">
        <f t="shared" si="9"/>
        <v>Jun</v>
      </c>
      <c r="D206" s="3">
        <v>25</v>
      </c>
      <c r="E206" s="3" t="str">
        <f t="shared" si="10"/>
        <v>adult</v>
      </c>
      <c r="F206" s="3" t="s">
        <v>29</v>
      </c>
      <c r="G206" s="3" t="s">
        <v>30</v>
      </c>
      <c r="H206" s="3">
        <v>2261.29</v>
      </c>
      <c r="I206" s="3">
        <v>2</v>
      </c>
      <c r="J206" s="3">
        <f t="shared" si="11"/>
        <v>4522.58</v>
      </c>
      <c r="K206" s="3" t="s">
        <v>39</v>
      </c>
      <c r="L206" s="3">
        <v>10</v>
      </c>
      <c r="M206" s="3">
        <v>1</v>
      </c>
      <c r="N206" s="3" t="s">
        <v>546</v>
      </c>
      <c r="O206" s="3" t="s">
        <v>547</v>
      </c>
      <c r="P206" s="3" t="s">
        <v>39</v>
      </c>
      <c r="Q206" s="3">
        <v>0.12</v>
      </c>
      <c r="R206" s="3">
        <v>350000</v>
      </c>
      <c r="S206" s="3">
        <v>50</v>
      </c>
      <c r="T206" s="3">
        <v>12</v>
      </c>
      <c r="U206" s="3">
        <v>100</v>
      </c>
    </row>
    <row r="207" spans="1:21" x14ac:dyDescent="0.25">
      <c r="A207" s="3" t="s">
        <v>392</v>
      </c>
      <c r="B207" s="3" t="s">
        <v>393</v>
      </c>
      <c r="C207" s="3" t="str">
        <f t="shared" si="9"/>
        <v>Mar</v>
      </c>
      <c r="D207" s="3">
        <v>23</v>
      </c>
      <c r="E207" s="3" t="str">
        <f t="shared" si="10"/>
        <v>adult</v>
      </c>
      <c r="F207" s="3" t="s">
        <v>45</v>
      </c>
      <c r="G207" s="3" t="s">
        <v>35</v>
      </c>
      <c r="H207" s="3">
        <v>4030.04</v>
      </c>
      <c r="I207" s="3">
        <v>2</v>
      </c>
      <c r="J207" s="3">
        <f t="shared" si="11"/>
        <v>8060.08</v>
      </c>
      <c r="K207" s="3" t="s">
        <v>31</v>
      </c>
      <c r="L207" s="3">
        <v>6</v>
      </c>
      <c r="M207" s="3">
        <v>4</v>
      </c>
      <c r="N207" s="3" t="s">
        <v>546</v>
      </c>
      <c r="O207" s="3" t="s">
        <v>549</v>
      </c>
      <c r="P207" s="3" t="s">
        <v>548</v>
      </c>
      <c r="Q207" s="3">
        <v>0.18</v>
      </c>
      <c r="R207" s="3">
        <v>450000</v>
      </c>
      <c r="S207" s="3">
        <v>50</v>
      </c>
      <c r="T207" s="3">
        <v>15</v>
      </c>
      <c r="U207" s="3">
        <v>50</v>
      </c>
    </row>
    <row r="208" spans="1:21" x14ac:dyDescent="0.25">
      <c r="A208" s="3" t="s">
        <v>394</v>
      </c>
      <c r="B208" s="3" t="s">
        <v>395</v>
      </c>
      <c r="C208" s="3" t="str">
        <f t="shared" si="9"/>
        <v>Mar</v>
      </c>
      <c r="D208" s="3">
        <v>37</v>
      </c>
      <c r="E208" s="3" t="str">
        <f t="shared" si="10"/>
        <v>adult</v>
      </c>
      <c r="F208" s="3" t="s">
        <v>45</v>
      </c>
      <c r="G208" s="3" t="s">
        <v>48</v>
      </c>
      <c r="H208" s="3">
        <v>3769.18</v>
      </c>
      <c r="I208" s="3">
        <v>2</v>
      </c>
      <c r="J208" s="3">
        <f t="shared" si="11"/>
        <v>7538.36</v>
      </c>
      <c r="K208" s="3" t="s">
        <v>42</v>
      </c>
      <c r="L208" s="3">
        <v>7</v>
      </c>
      <c r="M208" s="3">
        <v>3</v>
      </c>
      <c r="N208" s="3" t="s">
        <v>546</v>
      </c>
      <c r="O208" s="3" t="s">
        <v>551</v>
      </c>
      <c r="P208" s="3" t="s">
        <v>550</v>
      </c>
      <c r="Q208" s="3">
        <v>0.05</v>
      </c>
      <c r="R208" s="3">
        <v>400000</v>
      </c>
      <c r="S208" s="3">
        <v>90</v>
      </c>
      <c r="T208" s="3">
        <v>7</v>
      </c>
      <c r="U208" s="3">
        <v>40</v>
      </c>
    </row>
    <row r="209" spans="1:21" x14ac:dyDescent="0.25">
      <c r="A209" s="3" t="s">
        <v>396</v>
      </c>
      <c r="B209" s="3" t="s">
        <v>390</v>
      </c>
      <c r="C209" s="3" t="str">
        <f t="shared" si="9"/>
        <v>Aug</v>
      </c>
      <c r="D209" s="3">
        <v>29</v>
      </c>
      <c r="E209" s="3" t="str">
        <f t="shared" si="10"/>
        <v>adult</v>
      </c>
      <c r="F209" s="3" t="s">
        <v>45</v>
      </c>
      <c r="G209" s="3" t="s">
        <v>30</v>
      </c>
      <c r="H209" s="3">
        <v>780.84</v>
      </c>
      <c r="I209" s="3">
        <v>4</v>
      </c>
      <c r="J209" s="3">
        <f t="shared" si="11"/>
        <v>3123.36</v>
      </c>
      <c r="K209" s="3" t="s">
        <v>22</v>
      </c>
      <c r="L209" s="3">
        <v>4</v>
      </c>
      <c r="M209" s="3">
        <v>2</v>
      </c>
      <c r="N209" s="3" t="s">
        <v>546</v>
      </c>
      <c r="O209" s="3" t="s">
        <v>547</v>
      </c>
      <c r="P209" s="3" t="s">
        <v>544</v>
      </c>
      <c r="Q209" s="3">
        <v>0.12</v>
      </c>
      <c r="R209" s="3">
        <v>350000</v>
      </c>
      <c r="S209" s="3">
        <v>31</v>
      </c>
      <c r="T209" s="3">
        <v>12</v>
      </c>
      <c r="U209" s="3">
        <v>100</v>
      </c>
    </row>
    <row r="210" spans="1:21" x14ac:dyDescent="0.25">
      <c r="A210" s="3" t="s">
        <v>397</v>
      </c>
      <c r="B210" s="3" t="s">
        <v>214</v>
      </c>
      <c r="C210" s="3" t="str">
        <f t="shared" si="9"/>
        <v>Oct</v>
      </c>
      <c r="D210" s="3">
        <v>56</v>
      </c>
      <c r="E210" s="3" t="str">
        <f t="shared" si="10"/>
        <v>senior</v>
      </c>
      <c r="F210" s="3" t="s">
        <v>20</v>
      </c>
      <c r="G210" s="3" t="s">
        <v>51</v>
      </c>
      <c r="H210" s="3">
        <v>2648.97</v>
      </c>
      <c r="I210" s="3">
        <v>1</v>
      </c>
      <c r="J210" s="3">
        <f t="shared" si="11"/>
        <v>2648.97</v>
      </c>
      <c r="K210" s="3" t="s">
        <v>31</v>
      </c>
      <c r="L210" s="3">
        <v>3</v>
      </c>
      <c r="M210" s="3">
        <v>1</v>
      </c>
      <c r="N210" s="3" t="s">
        <v>546</v>
      </c>
      <c r="O210" s="3" t="s">
        <v>552</v>
      </c>
      <c r="P210" s="3" t="s">
        <v>548</v>
      </c>
      <c r="Q210" s="3">
        <v>0.14000000000000001</v>
      </c>
      <c r="R210" s="3">
        <v>300000</v>
      </c>
      <c r="S210" s="3">
        <v>50</v>
      </c>
      <c r="T210" s="3">
        <v>12</v>
      </c>
      <c r="U210" s="3">
        <v>70</v>
      </c>
    </row>
    <row r="211" spans="1:21" x14ac:dyDescent="0.25">
      <c r="A211" s="3" t="s">
        <v>398</v>
      </c>
      <c r="B211" s="3" t="s">
        <v>399</v>
      </c>
      <c r="C211" s="3" t="str">
        <f t="shared" si="9"/>
        <v>Jul</v>
      </c>
      <c r="D211" s="3">
        <v>18</v>
      </c>
      <c r="E211" s="3" t="str">
        <f t="shared" si="10"/>
        <v>teenager</v>
      </c>
      <c r="F211" s="3" t="s">
        <v>34</v>
      </c>
      <c r="G211" s="3" t="s">
        <v>26</v>
      </c>
      <c r="H211" s="3">
        <v>1049.01</v>
      </c>
      <c r="I211" s="3">
        <v>3</v>
      </c>
      <c r="J211" s="3">
        <f t="shared" si="11"/>
        <v>3147.0299999999997</v>
      </c>
      <c r="K211" s="3" t="s">
        <v>22</v>
      </c>
      <c r="L211" s="3">
        <v>1</v>
      </c>
      <c r="M211" s="3">
        <v>1</v>
      </c>
      <c r="N211" s="3" t="s">
        <v>546</v>
      </c>
      <c r="O211" s="3" t="s">
        <v>545</v>
      </c>
      <c r="P211" s="3" t="s">
        <v>544</v>
      </c>
      <c r="Q211" s="3">
        <v>0.12</v>
      </c>
      <c r="R211" s="3">
        <v>240000</v>
      </c>
      <c r="S211" s="3">
        <v>31</v>
      </c>
      <c r="T211" s="3">
        <v>14</v>
      </c>
      <c r="U211" s="3">
        <v>30</v>
      </c>
    </row>
    <row r="212" spans="1:21" x14ac:dyDescent="0.25">
      <c r="A212" s="3" t="s">
        <v>400</v>
      </c>
      <c r="B212" s="3" t="s">
        <v>115</v>
      </c>
      <c r="C212" s="3" t="str">
        <f t="shared" si="9"/>
        <v>Jul</v>
      </c>
      <c r="D212" s="3">
        <v>59</v>
      </c>
      <c r="E212" s="3" t="str">
        <f t="shared" si="10"/>
        <v>senior</v>
      </c>
      <c r="F212" s="3" t="s">
        <v>54</v>
      </c>
      <c r="G212" s="3" t="s">
        <v>35</v>
      </c>
      <c r="H212" s="3">
        <v>1462.12</v>
      </c>
      <c r="I212" s="3">
        <v>2</v>
      </c>
      <c r="J212" s="3">
        <f t="shared" si="11"/>
        <v>2924.24</v>
      </c>
      <c r="K212" s="3" t="s">
        <v>31</v>
      </c>
      <c r="L212" s="3">
        <v>9</v>
      </c>
      <c r="M212" s="3">
        <v>2</v>
      </c>
      <c r="N212" s="3" t="s">
        <v>546</v>
      </c>
      <c r="O212" s="3" t="s">
        <v>549</v>
      </c>
      <c r="P212" s="3" t="s">
        <v>548</v>
      </c>
      <c r="Q212" s="3">
        <v>0.18</v>
      </c>
      <c r="R212" s="3">
        <v>450000</v>
      </c>
      <c r="S212" s="3">
        <v>50</v>
      </c>
      <c r="T212" s="3">
        <v>15</v>
      </c>
      <c r="U212" s="3">
        <v>50</v>
      </c>
    </row>
    <row r="213" spans="1:21" x14ac:dyDescent="0.25">
      <c r="A213" s="3" t="s">
        <v>401</v>
      </c>
      <c r="B213" s="3" t="s">
        <v>395</v>
      </c>
      <c r="C213" s="3" t="str">
        <f t="shared" si="9"/>
        <v>Mar</v>
      </c>
      <c r="D213" s="3">
        <v>34</v>
      </c>
      <c r="E213" s="3" t="str">
        <f t="shared" si="10"/>
        <v>adult</v>
      </c>
      <c r="F213" s="3" t="s">
        <v>34</v>
      </c>
      <c r="G213" s="3" t="s">
        <v>30</v>
      </c>
      <c r="H213" s="3">
        <v>1275.3800000000001</v>
      </c>
      <c r="I213" s="3">
        <v>1</v>
      </c>
      <c r="J213" s="3">
        <f t="shared" si="11"/>
        <v>1275.3800000000001</v>
      </c>
      <c r="K213" s="3" t="s">
        <v>22</v>
      </c>
      <c r="L213" s="3">
        <v>9</v>
      </c>
      <c r="M213" s="3">
        <v>2</v>
      </c>
      <c r="N213" s="3" t="s">
        <v>546</v>
      </c>
      <c r="O213" s="3" t="s">
        <v>547</v>
      </c>
      <c r="P213" s="3" t="s">
        <v>544</v>
      </c>
      <c r="Q213" s="3">
        <v>0.12</v>
      </c>
      <c r="R213" s="3">
        <v>350000</v>
      </c>
      <c r="S213" s="3">
        <v>31</v>
      </c>
      <c r="T213" s="3">
        <v>12</v>
      </c>
      <c r="U213" s="3">
        <v>100</v>
      </c>
    </row>
    <row r="214" spans="1:21" x14ac:dyDescent="0.25">
      <c r="A214" s="3" t="s">
        <v>402</v>
      </c>
      <c r="B214" s="3" t="s">
        <v>403</v>
      </c>
      <c r="C214" s="3" t="str">
        <f t="shared" si="9"/>
        <v>Apr</v>
      </c>
      <c r="D214" s="3">
        <v>57</v>
      </c>
      <c r="E214" s="3" t="str">
        <f t="shared" si="10"/>
        <v>senior</v>
      </c>
      <c r="F214" s="3" t="s">
        <v>34</v>
      </c>
      <c r="G214" s="3" t="s">
        <v>30</v>
      </c>
      <c r="H214" s="3">
        <v>255.76</v>
      </c>
      <c r="I214" s="3">
        <v>3</v>
      </c>
      <c r="J214" s="3">
        <f t="shared" si="11"/>
        <v>767.28</v>
      </c>
      <c r="K214" s="3" t="s">
        <v>22</v>
      </c>
      <c r="L214" s="3">
        <v>3</v>
      </c>
      <c r="M214" s="3">
        <v>4</v>
      </c>
      <c r="N214" s="3" t="s">
        <v>542</v>
      </c>
      <c r="O214" s="3" t="s">
        <v>547</v>
      </c>
      <c r="P214" s="3" t="s">
        <v>544</v>
      </c>
      <c r="Q214" s="3">
        <v>0.12</v>
      </c>
      <c r="R214" s="3">
        <v>350000</v>
      </c>
      <c r="S214" s="3">
        <v>31</v>
      </c>
      <c r="T214" s="3">
        <v>12</v>
      </c>
      <c r="U214" s="3">
        <v>100</v>
      </c>
    </row>
    <row r="215" spans="1:21" x14ac:dyDescent="0.25">
      <c r="A215" s="3" t="s">
        <v>404</v>
      </c>
      <c r="B215" s="3" t="s">
        <v>405</v>
      </c>
      <c r="C215" s="3" t="str">
        <f t="shared" si="9"/>
        <v>Oct</v>
      </c>
      <c r="D215" s="3">
        <v>18</v>
      </c>
      <c r="E215" s="3" t="str">
        <f t="shared" si="10"/>
        <v>teenager</v>
      </c>
      <c r="F215" s="3" t="s">
        <v>34</v>
      </c>
      <c r="G215" s="3" t="s">
        <v>51</v>
      </c>
      <c r="H215" s="3">
        <v>3330.77</v>
      </c>
      <c r="I215" s="3">
        <v>1</v>
      </c>
      <c r="J215" s="3">
        <f t="shared" si="11"/>
        <v>3330.77</v>
      </c>
      <c r="K215" s="3" t="s">
        <v>22</v>
      </c>
      <c r="L215" s="3">
        <v>2</v>
      </c>
      <c r="M215" s="3">
        <v>5</v>
      </c>
      <c r="N215" s="3" t="s">
        <v>546</v>
      </c>
      <c r="O215" s="3" t="s">
        <v>552</v>
      </c>
      <c r="P215" s="3" t="s">
        <v>544</v>
      </c>
      <c r="Q215" s="3">
        <v>0.14000000000000001</v>
      </c>
      <c r="R215" s="3">
        <v>300000</v>
      </c>
      <c r="S215" s="3">
        <v>31</v>
      </c>
      <c r="T215" s="3">
        <v>12</v>
      </c>
      <c r="U215" s="3">
        <v>70</v>
      </c>
    </row>
    <row r="216" spans="1:21" x14ac:dyDescent="0.25">
      <c r="A216" s="3" t="s">
        <v>406</v>
      </c>
      <c r="B216" s="3" t="s">
        <v>200</v>
      </c>
      <c r="C216" s="3" t="str">
        <f t="shared" si="9"/>
        <v>Dec</v>
      </c>
      <c r="D216" s="3">
        <v>27</v>
      </c>
      <c r="E216" s="3" t="str">
        <f t="shared" si="10"/>
        <v>adult</v>
      </c>
      <c r="F216" s="3" t="s">
        <v>20</v>
      </c>
      <c r="G216" s="3" t="s">
        <v>48</v>
      </c>
      <c r="H216" s="3">
        <v>4382.78</v>
      </c>
      <c r="I216" s="3">
        <v>4</v>
      </c>
      <c r="J216" s="3">
        <f t="shared" si="11"/>
        <v>17531.12</v>
      </c>
      <c r="K216" s="3" t="s">
        <v>31</v>
      </c>
      <c r="L216" s="3">
        <v>1</v>
      </c>
      <c r="M216" s="3">
        <v>2</v>
      </c>
      <c r="N216" s="3" t="s">
        <v>546</v>
      </c>
      <c r="O216" s="3" t="s">
        <v>551</v>
      </c>
      <c r="P216" s="3" t="s">
        <v>548</v>
      </c>
      <c r="Q216" s="3">
        <v>0.05</v>
      </c>
      <c r="R216" s="3">
        <v>400000</v>
      </c>
      <c r="S216" s="3">
        <v>50</v>
      </c>
      <c r="T216" s="3">
        <v>7</v>
      </c>
      <c r="U216" s="3">
        <v>40</v>
      </c>
    </row>
    <row r="217" spans="1:21" x14ac:dyDescent="0.25">
      <c r="A217" s="3" t="s">
        <v>407</v>
      </c>
      <c r="B217" s="3" t="s">
        <v>350</v>
      </c>
      <c r="C217" s="3" t="str">
        <f t="shared" si="9"/>
        <v>Jul</v>
      </c>
      <c r="D217" s="3">
        <v>50</v>
      </c>
      <c r="E217" s="3" t="str">
        <f t="shared" si="10"/>
        <v>adult</v>
      </c>
      <c r="F217" s="3" t="s">
        <v>45</v>
      </c>
      <c r="G217" s="3" t="s">
        <v>21</v>
      </c>
      <c r="H217" s="3">
        <v>4287.13</v>
      </c>
      <c r="I217" s="3">
        <v>4</v>
      </c>
      <c r="J217" s="3">
        <f t="shared" si="11"/>
        <v>17148.52</v>
      </c>
      <c r="K217" s="3" t="s">
        <v>36</v>
      </c>
      <c r="L217" s="3">
        <v>3</v>
      </c>
      <c r="M217" s="3">
        <v>4</v>
      </c>
      <c r="N217" s="3" t="s">
        <v>542</v>
      </c>
      <c r="O217" s="3" t="s">
        <v>543</v>
      </c>
      <c r="P217" s="3" t="s">
        <v>11</v>
      </c>
      <c r="Q217" s="3">
        <v>0.1</v>
      </c>
      <c r="R217" s="3">
        <v>560000</v>
      </c>
      <c r="S217" s="3">
        <v>80</v>
      </c>
      <c r="T217" s="3">
        <v>13</v>
      </c>
      <c r="U217" s="3">
        <v>60</v>
      </c>
    </row>
    <row r="218" spans="1:21" x14ac:dyDescent="0.25">
      <c r="A218" s="3" t="s">
        <v>408</v>
      </c>
      <c r="B218" s="3" t="s">
        <v>409</v>
      </c>
      <c r="C218" s="3" t="str">
        <f t="shared" si="9"/>
        <v>May</v>
      </c>
      <c r="D218" s="3">
        <v>59</v>
      </c>
      <c r="E218" s="3" t="str">
        <f t="shared" si="10"/>
        <v>senior</v>
      </c>
      <c r="F218" s="3" t="s">
        <v>25</v>
      </c>
      <c r="G218" s="3" t="s">
        <v>35</v>
      </c>
      <c r="H218" s="3">
        <v>2745.54</v>
      </c>
      <c r="I218" s="3">
        <v>5</v>
      </c>
      <c r="J218" s="3">
        <f t="shared" si="11"/>
        <v>13727.7</v>
      </c>
      <c r="K218" s="3" t="s">
        <v>42</v>
      </c>
      <c r="L218" s="3">
        <v>2</v>
      </c>
      <c r="M218" s="3">
        <v>3</v>
      </c>
      <c r="N218" s="3" t="s">
        <v>546</v>
      </c>
      <c r="O218" s="3" t="s">
        <v>549</v>
      </c>
      <c r="P218" s="3" t="s">
        <v>550</v>
      </c>
      <c r="Q218" s="3">
        <v>0.18</v>
      </c>
      <c r="R218" s="3">
        <v>450000</v>
      </c>
      <c r="S218" s="3">
        <v>90</v>
      </c>
      <c r="T218" s="3">
        <v>15</v>
      </c>
      <c r="U218" s="3">
        <v>50</v>
      </c>
    </row>
    <row r="219" spans="1:21" x14ac:dyDescent="0.25">
      <c r="A219" s="3" t="s">
        <v>410</v>
      </c>
      <c r="B219" s="3" t="s">
        <v>84</v>
      </c>
      <c r="C219" s="3" t="str">
        <f t="shared" si="9"/>
        <v>Jun</v>
      </c>
      <c r="D219" s="3">
        <v>60</v>
      </c>
      <c r="E219" s="3" t="str">
        <f t="shared" si="10"/>
        <v>senior</v>
      </c>
      <c r="F219" s="3" t="s">
        <v>20</v>
      </c>
      <c r="G219" s="3" t="s">
        <v>48</v>
      </c>
      <c r="H219" s="3">
        <v>4645.87</v>
      </c>
      <c r="I219" s="3">
        <v>3</v>
      </c>
      <c r="J219" s="3">
        <f t="shared" si="11"/>
        <v>13937.61</v>
      </c>
      <c r="K219" s="3" t="s">
        <v>39</v>
      </c>
      <c r="L219" s="3">
        <v>10</v>
      </c>
      <c r="M219" s="3">
        <v>1</v>
      </c>
      <c r="N219" s="3" t="s">
        <v>546</v>
      </c>
      <c r="O219" s="3" t="s">
        <v>551</v>
      </c>
      <c r="P219" s="3" t="s">
        <v>39</v>
      </c>
      <c r="Q219" s="3">
        <v>0.05</v>
      </c>
      <c r="R219" s="3">
        <v>400000</v>
      </c>
      <c r="S219" s="3">
        <v>50</v>
      </c>
      <c r="T219" s="3">
        <v>7</v>
      </c>
      <c r="U219" s="3">
        <v>40</v>
      </c>
    </row>
    <row r="220" spans="1:21" x14ac:dyDescent="0.25">
      <c r="A220" s="3" t="s">
        <v>411</v>
      </c>
      <c r="B220" s="3" t="s">
        <v>66</v>
      </c>
      <c r="C220" s="3" t="str">
        <f t="shared" si="9"/>
        <v>May</v>
      </c>
      <c r="D220" s="3">
        <v>34</v>
      </c>
      <c r="E220" s="3" t="str">
        <f t="shared" si="10"/>
        <v>adult</v>
      </c>
      <c r="F220" s="3" t="s">
        <v>29</v>
      </c>
      <c r="G220" s="3" t="s">
        <v>21</v>
      </c>
      <c r="H220" s="3">
        <v>3087.5</v>
      </c>
      <c r="I220" s="3">
        <v>2</v>
      </c>
      <c r="J220" s="3">
        <f t="shared" si="11"/>
        <v>6175</v>
      </c>
      <c r="K220" s="3" t="s">
        <v>39</v>
      </c>
      <c r="L220" s="3">
        <v>2</v>
      </c>
      <c r="M220" s="3">
        <v>4</v>
      </c>
      <c r="N220" s="3" t="s">
        <v>546</v>
      </c>
      <c r="O220" s="3" t="s">
        <v>543</v>
      </c>
      <c r="P220" s="3" t="s">
        <v>39</v>
      </c>
      <c r="Q220" s="3">
        <v>0.1</v>
      </c>
      <c r="R220" s="3">
        <v>560000</v>
      </c>
      <c r="S220" s="3">
        <v>50</v>
      </c>
      <c r="T220" s="3">
        <v>13</v>
      </c>
      <c r="U220" s="3">
        <v>60</v>
      </c>
    </row>
    <row r="221" spans="1:21" x14ac:dyDescent="0.25">
      <c r="A221" s="3" t="s">
        <v>412</v>
      </c>
      <c r="B221" s="3" t="s">
        <v>413</v>
      </c>
      <c r="C221" s="3" t="str">
        <f t="shared" si="9"/>
        <v>Dec</v>
      </c>
      <c r="D221" s="3">
        <v>27</v>
      </c>
      <c r="E221" s="3" t="str">
        <f t="shared" si="10"/>
        <v>adult</v>
      </c>
      <c r="F221" s="3" t="s">
        <v>29</v>
      </c>
      <c r="G221" s="3" t="s">
        <v>48</v>
      </c>
      <c r="H221" s="3">
        <v>4199.3599999999997</v>
      </c>
      <c r="I221" s="3">
        <v>5</v>
      </c>
      <c r="J221" s="3">
        <f t="shared" si="11"/>
        <v>20996.799999999999</v>
      </c>
      <c r="K221" s="3" t="s">
        <v>22</v>
      </c>
      <c r="L221" s="3">
        <v>4</v>
      </c>
      <c r="M221" s="3">
        <v>5</v>
      </c>
      <c r="N221" s="3" t="s">
        <v>542</v>
      </c>
      <c r="O221" s="3" t="s">
        <v>551</v>
      </c>
      <c r="P221" s="3" t="s">
        <v>544</v>
      </c>
      <c r="Q221" s="3">
        <v>0.05</v>
      </c>
      <c r="R221" s="3">
        <v>400000</v>
      </c>
      <c r="S221" s="3">
        <v>31</v>
      </c>
      <c r="T221" s="3">
        <v>7</v>
      </c>
      <c r="U221" s="3">
        <v>40</v>
      </c>
    </row>
    <row r="222" spans="1:21" x14ac:dyDescent="0.25">
      <c r="A222" s="3" t="s">
        <v>414</v>
      </c>
      <c r="B222" s="3" t="s">
        <v>164</v>
      </c>
      <c r="C222" s="3" t="str">
        <f t="shared" si="9"/>
        <v>Mar</v>
      </c>
      <c r="D222" s="3">
        <v>27</v>
      </c>
      <c r="E222" s="3" t="str">
        <f t="shared" si="10"/>
        <v>adult</v>
      </c>
      <c r="F222" s="3" t="s">
        <v>20</v>
      </c>
      <c r="G222" s="3" t="s">
        <v>51</v>
      </c>
      <c r="H222" s="3">
        <v>1353.62</v>
      </c>
      <c r="I222" s="3">
        <v>5</v>
      </c>
      <c r="J222" s="3">
        <f t="shared" si="11"/>
        <v>6768.0999999999995</v>
      </c>
      <c r="K222" s="3" t="s">
        <v>42</v>
      </c>
      <c r="L222" s="3">
        <v>3</v>
      </c>
      <c r="M222" s="3">
        <v>4</v>
      </c>
      <c r="N222" s="3" t="s">
        <v>542</v>
      </c>
      <c r="O222" s="3" t="s">
        <v>552</v>
      </c>
      <c r="P222" s="3" t="s">
        <v>550</v>
      </c>
      <c r="Q222" s="3">
        <v>0.14000000000000001</v>
      </c>
      <c r="R222" s="3">
        <v>300000</v>
      </c>
      <c r="S222" s="3">
        <v>90</v>
      </c>
      <c r="T222" s="3">
        <v>12</v>
      </c>
      <c r="U222" s="3">
        <v>70</v>
      </c>
    </row>
    <row r="223" spans="1:21" x14ac:dyDescent="0.25">
      <c r="A223" s="3" t="s">
        <v>415</v>
      </c>
      <c r="B223" s="3" t="s">
        <v>416</v>
      </c>
      <c r="C223" s="3" t="str">
        <f t="shared" si="9"/>
        <v>Oct</v>
      </c>
      <c r="D223" s="3">
        <v>20</v>
      </c>
      <c r="E223" s="3" t="str">
        <f t="shared" si="10"/>
        <v>teenager</v>
      </c>
      <c r="F223" s="3" t="s">
        <v>29</v>
      </c>
      <c r="G223" s="3" t="s">
        <v>26</v>
      </c>
      <c r="H223" s="3">
        <v>4579.6400000000003</v>
      </c>
      <c r="I223" s="3">
        <v>3</v>
      </c>
      <c r="J223" s="3">
        <f t="shared" si="11"/>
        <v>13738.920000000002</v>
      </c>
      <c r="K223" s="3" t="s">
        <v>31</v>
      </c>
      <c r="L223" s="3">
        <v>1</v>
      </c>
      <c r="M223" s="3">
        <v>5</v>
      </c>
      <c r="N223" s="3" t="s">
        <v>542</v>
      </c>
      <c r="O223" s="3" t="s">
        <v>545</v>
      </c>
      <c r="P223" s="3" t="s">
        <v>548</v>
      </c>
      <c r="Q223" s="3">
        <v>0.12</v>
      </c>
      <c r="R223" s="3">
        <v>240000</v>
      </c>
      <c r="S223" s="3">
        <v>50</v>
      </c>
      <c r="T223" s="3">
        <v>14</v>
      </c>
      <c r="U223" s="3">
        <v>30</v>
      </c>
    </row>
    <row r="224" spans="1:21" x14ac:dyDescent="0.25">
      <c r="A224" s="3" t="s">
        <v>417</v>
      </c>
      <c r="B224" s="3" t="s">
        <v>50</v>
      </c>
      <c r="C224" s="3" t="str">
        <f t="shared" si="9"/>
        <v>Jun</v>
      </c>
      <c r="D224" s="3">
        <v>59</v>
      </c>
      <c r="E224" s="3" t="str">
        <f t="shared" si="10"/>
        <v>senior</v>
      </c>
      <c r="F224" s="3" t="s">
        <v>45</v>
      </c>
      <c r="G224" s="3" t="s">
        <v>26</v>
      </c>
      <c r="H224" s="3">
        <v>975.02</v>
      </c>
      <c r="I224" s="3">
        <v>2</v>
      </c>
      <c r="J224" s="3">
        <f t="shared" si="11"/>
        <v>1950.04</v>
      </c>
      <c r="K224" s="3" t="s">
        <v>36</v>
      </c>
      <c r="L224" s="3">
        <v>4</v>
      </c>
      <c r="M224" s="3">
        <v>2</v>
      </c>
      <c r="N224" s="3" t="s">
        <v>546</v>
      </c>
      <c r="O224" s="3" t="s">
        <v>545</v>
      </c>
      <c r="P224" s="3" t="s">
        <v>11</v>
      </c>
      <c r="Q224" s="3">
        <v>0.12</v>
      </c>
      <c r="R224" s="3">
        <v>240000</v>
      </c>
      <c r="S224" s="3">
        <v>80</v>
      </c>
      <c r="T224" s="3">
        <v>14</v>
      </c>
      <c r="U224" s="3">
        <v>30</v>
      </c>
    </row>
    <row r="225" spans="1:21" x14ac:dyDescent="0.25">
      <c r="A225" s="3" t="s">
        <v>418</v>
      </c>
      <c r="B225" s="3" t="s">
        <v>419</v>
      </c>
      <c r="C225" s="3" t="str">
        <f t="shared" si="9"/>
        <v>Oct</v>
      </c>
      <c r="D225" s="3">
        <v>57</v>
      </c>
      <c r="E225" s="3" t="str">
        <f t="shared" si="10"/>
        <v>senior</v>
      </c>
      <c r="F225" s="3" t="s">
        <v>45</v>
      </c>
      <c r="G225" s="3" t="s">
        <v>30</v>
      </c>
      <c r="H225" s="3">
        <v>1632.4</v>
      </c>
      <c r="I225" s="3">
        <v>5</v>
      </c>
      <c r="J225" s="3">
        <f t="shared" si="11"/>
        <v>8162</v>
      </c>
      <c r="K225" s="3" t="s">
        <v>42</v>
      </c>
      <c r="L225" s="3">
        <v>6</v>
      </c>
      <c r="M225" s="3">
        <v>2</v>
      </c>
      <c r="N225" s="3" t="s">
        <v>546</v>
      </c>
      <c r="O225" s="3" t="s">
        <v>547</v>
      </c>
      <c r="P225" s="3" t="s">
        <v>550</v>
      </c>
      <c r="Q225" s="3">
        <v>0.12</v>
      </c>
      <c r="R225" s="3">
        <v>350000</v>
      </c>
      <c r="S225" s="3">
        <v>90</v>
      </c>
      <c r="T225" s="3">
        <v>12</v>
      </c>
      <c r="U225" s="3">
        <v>100</v>
      </c>
    </row>
    <row r="226" spans="1:21" x14ac:dyDescent="0.25">
      <c r="A226" s="3" t="s">
        <v>420</v>
      </c>
      <c r="B226" s="3" t="s">
        <v>409</v>
      </c>
      <c r="C226" s="3" t="str">
        <f t="shared" si="9"/>
        <v>May</v>
      </c>
      <c r="D226" s="3">
        <v>38</v>
      </c>
      <c r="E226" s="3" t="str">
        <f t="shared" si="10"/>
        <v>adult</v>
      </c>
      <c r="F226" s="3" t="s">
        <v>29</v>
      </c>
      <c r="G226" s="3" t="s">
        <v>26</v>
      </c>
      <c r="H226" s="3">
        <v>4888.75</v>
      </c>
      <c r="I226" s="3">
        <v>2</v>
      </c>
      <c r="J226" s="3">
        <f t="shared" si="11"/>
        <v>9777.5</v>
      </c>
      <c r="K226" s="3" t="s">
        <v>22</v>
      </c>
      <c r="L226" s="3">
        <v>10</v>
      </c>
      <c r="M226" s="3">
        <v>4</v>
      </c>
      <c r="N226" s="3" t="s">
        <v>546</v>
      </c>
      <c r="O226" s="3" t="s">
        <v>545</v>
      </c>
      <c r="P226" s="3" t="s">
        <v>544</v>
      </c>
      <c r="Q226" s="3">
        <v>0.12</v>
      </c>
      <c r="R226" s="3">
        <v>240000</v>
      </c>
      <c r="S226" s="3">
        <v>31</v>
      </c>
      <c r="T226" s="3">
        <v>14</v>
      </c>
      <c r="U226" s="3">
        <v>30</v>
      </c>
    </row>
    <row r="227" spans="1:21" x14ac:dyDescent="0.25">
      <c r="A227" s="3" t="s">
        <v>421</v>
      </c>
      <c r="B227" s="3" t="s">
        <v>137</v>
      </c>
      <c r="C227" s="3" t="str">
        <f t="shared" si="9"/>
        <v>Feb</v>
      </c>
      <c r="D227" s="3">
        <v>26</v>
      </c>
      <c r="E227" s="3" t="str">
        <f t="shared" si="10"/>
        <v>adult</v>
      </c>
      <c r="F227" s="3" t="s">
        <v>34</v>
      </c>
      <c r="G227" s="3" t="s">
        <v>26</v>
      </c>
      <c r="H227" s="3">
        <v>2052.3200000000002</v>
      </c>
      <c r="I227" s="3">
        <v>5</v>
      </c>
      <c r="J227" s="3">
        <f t="shared" si="11"/>
        <v>10261.6</v>
      </c>
      <c r="K227" s="3" t="s">
        <v>22</v>
      </c>
      <c r="L227" s="3">
        <v>8</v>
      </c>
      <c r="M227" s="3">
        <v>1</v>
      </c>
      <c r="N227" s="3" t="s">
        <v>546</v>
      </c>
      <c r="O227" s="3" t="s">
        <v>545</v>
      </c>
      <c r="P227" s="3" t="s">
        <v>544</v>
      </c>
      <c r="Q227" s="3">
        <v>0.12</v>
      </c>
      <c r="R227" s="3">
        <v>240000</v>
      </c>
      <c r="S227" s="3">
        <v>31</v>
      </c>
      <c r="T227" s="3">
        <v>14</v>
      </c>
      <c r="U227" s="3">
        <v>30</v>
      </c>
    </row>
    <row r="228" spans="1:21" x14ac:dyDescent="0.25">
      <c r="A228" s="3" t="s">
        <v>422</v>
      </c>
      <c r="B228" s="3" t="s">
        <v>90</v>
      </c>
      <c r="C228" s="3" t="str">
        <f t="shared" si="9"/>
        <v>Mar</v>
      </c>
      <c r="D228" s="3">
        <v>58</v>
      </c>
      <c r="E228" s="3" t="str">
        <f t="shared" si="10"/>
        <v>senior</v>
      </c>
      <c r="F228" s="3" t="s">
        <v>45</v>
      </c>
      <c r="G228" s="3" t="s">
        <v>21</v>
      </c>
      <c r="H228" s="3">
        <v>854.01</v>
      </c>
      <c r="I228" s="3">
        <v>2</v>
      </c>
      <c r="J228" s="3">
        <f t="shared" si="11"/>
        <v>1708.02</v>
      </c>
      <c r="K228" s="3" t="s">
        <v>39</v>
      </c>
      <c r="L228" s="3">
        <v>5</v>
      </c>
      <c r="M228" s="3">
        <v>5</v>
      </c>
      <c r="N228" s="3" t="s">
        <v>546</v>
      </c>
      <c r="O228" s="3" t="s">
        <v>543</v>
      </c>
      <c r="P228" s="3" t="s">
        <v>39</v>
      </c>
      <c r="Q228" s="3">
        <v>0.1</v>
      </c>
      <c r="R228" s="3">
        <v>560000</v>
      </c>
      <c r="S228" s="3">
        <v>50</v>
      </c>
      <c r="T228" s="3">
        <v>13</v>
      </c>
      <c r="U228" s="3">
        <v>60</v>
      </c>
    </row>
    <row r="229" spans="1:21" x14ac:dyDescent="0.25">
      <c r="A229" s="3" t="s">
        <v>423</v>
      </c>
      <c r="B229" s="3" t="s">
        <v>424</v>
      </c>
      <c r="C229" s="3" t="str">
        <f t="shared" si="9"/>
        <v>May</v>
      </c>
      <c r="D229" s="3">
        <v>33</v>
      </c>
      <c r="E229" s="3" t="str">
        <f t="shared" si="10"/>
        <v>adult</v>
      </c>
      <c r="F229" s="3" t="s">
        <v>34</v>
      </c>
      <c r="G229" s="3" t="s">
        <v>30</v>
      </c>
      <c r="H229" s="3">
        <v>4567.82</v>
      </c>
      <c r="I229" s="3">
        <v>2</v>
      </c>
      <c r="J229" s="3">
        <f t="shared" si="11"/>
        <v>9135.64</v>
      </c>
      <c r="K229" s="3" t="s">
        <v>39</v>
      </c>
      <c r="L229" s="3">
        <v>7</v>
      </c>
      <c r="M229" s="3">
        <v>2</v>
      </c>
      <c r="N229" s="3" t="s">
        <v>546</v>
      </c>
      <c r="O229" s="3" t="s">
        <v>547</v>
      </c>
      <c r="P229" s="3" t="s">
        <v>39</v>
      </c>
      <c r="Q229" s="3">
        <v>0.12</v>
      </c>
      <c r="R229" s="3">
        <v>350000</v>
      </c>
      <c r="S229" s="3">
        <v>50</v>
      </c>
      <c r="T229" s="3">
        <v>12</v>
      </c>
      <c r="U229" s="3">
        <v>100</v>
      </c>
    </row>
    <row r="230" spans="1:21" x14ac:dyDescent="0.25">
      <c r="A230" s="3" t="s">
        <v>425</v>
      </c>
      <c r="B230" s="3" t="s">
        <v>426</v>
      </c>
      <c r="C230" s="3" t="str">
        <f t="shared" si="9"/>
        <v>May</v>
      </c>
      <c r="D230" s="3">
        <v>18</v>
      </c>
      <c r="E230" s="3" t="str">
        <f t="shared" si="10"/>
        <v>teenager</v>
      </c>
      <c r="F230" s="3" t="s">
        <v>54</v>
      </c>
      <c r="G230" s="3" t="s">
        <v>21</v>
      </c>
      <c r="H230" s="3">
        <v>1445.87</v>
      </c>
      <c r="I230" s="3">
        <v>1</v>
      </c>
      <c r="J230" s="3">
        <f t="shared" si="11"/>
        <v>1445.87</v>
      </c>
      <c r="K230" s="3" t="s">
        <v>36</v>
      </c>
      <c r="L230" s="3">
        <v>7</v>
      </c>
      <c r="M230" s="3">
        <v>5</v>
      </c>
      <c r="N230" s="3" t="s">
        <v>546</v>
      </c>
      <c r="O230" s="3" t="s">
        <v>543</v>
      </c>
      <c r="P230" s="3" t="s">
        <v>11</v>
      </c>
      <c r="Q230" s="3">
        <v>0.1</v>
      </c>
      <c r="R230" s="3">
        <v>560000</v>
      </c>
      <c r="S230" s="3">
        <v>80</v>
      </c>
      <c r="T230" s="3">
        <v>13</v>
      </c>
      <c r="U230" s="3">
        <v>60</v>
      </c>
    </row>
    <row r="231" spans="1:21" x14ac:dyDescent="0.25">
      <c r="A231" s="3" t="s">
        <v>427</v>
      </c>
      <c r="B231" s="3" t="s">
        <v>428</v>
      </c>
      <c r="C231" s="3" t="str">
        <f t="shared" si="9"/>
        <v>Dec</v>
      </c>
      <c r="D231" s="3">
        <v>43</v>
      </c>
      <c r="E231" s="3" t="str">
        <f t="shared" si="10"/>
        <v>adult</v>
      </c>
      <c r="F231" s="3" t="s">
        <v>54</v>
      </c>
      <c r="G231" s="3" t="s">
        <v>26</v>
      </c>
      <c r="H231" s="3">
        <v>1786.61</v>
      </c>
      <c r="I231" s="3">
        <v>2</v>
      </c>
      <c r="J231" s="3">
        <f t="shared" si="11"/>
        <v>3573.22</v>
      </c>
      <c r="K231" s="3" t="s">
        <v>31</v>
      </c>
      <c r="L231" s="3">
        <v>5</v>
      </c>
      <c r="M231" s="3">
        <v>2</v>
      </c>
      <c r="N231" s="3" t="s">
        <v>546</v>
      </c>
      <c r="O231" s="3" t="s">
        <v>545</v>
      </c>
      <c r="P231" s="3" t="s">
        <v>548</v>
      </c>
      <c r="Q231" s="3">
        <v>0.12</v>
      </c>
      <c r="R231" s="3">
        <v>240000</v>
      </c>
      <c r="S231" s="3">
        <v>50</v>
      </c>
      <c r="T231" s="3">
        <v>14</v>
      </c>
      <c r="U231" s="3">
        <v>30</v>
      </c>
    </row>
    <row r="232" spans="1:21" x14ac:dyDescent="0.25">
      <c r="A232" s="3" t="s">
        <v>429</v>
      </c>
      <c r="B232" s="3" t="s">
        <v>430</v>
      </c>
      <c r="C232" s="3" t="str">
        <f t="shared" si="9"/>
        <v>Mar</v>
      </c>
      <c r="D232" s="3">
        <v>43</v>
      </c>
      <c r="E232" s="3" t="str">
        <f t="shared" si="10"/>
        <v>adult</v>
      </c>
      <c r="F232" s="3" t="s">
        <v>45</v>
      </c>
      <c r="G232" s="3" t="s">
        <v>30</v>
      </c>
      <c r="H232" s="3">
        <v>1365.57</v>
      </c>
      <c r="I232" s="3">
        <v>5</v>
      </c>
      <c r="J232" s="3">
        <f t="shared" si="11"/>
        <v>6827.8499999999995</v>
      </c>
      <c r="K232" s="3" t="s">
        <v>36</v>
      </c>
      <c r="L232" s="3">
        <v>4</v>
      </c>
      <c r="M232" s="3">
        <v>3</v>
      </c>
      <c r="N232" s="3" t="s">
        <v>546</v>
      </c>
      <c r="O232" s="3" t="s">
        <v>547</v>
      </c>
      <c r="P232" s="3" t="s">
        <v>11</v>
      </c>
      <c r="Q232" s="3">
        <v>0.12</v>
      </c>
      <c r="R232" s="3">
        <v>350000</v>
      </c>
      <c r="S232" s="3">
        <v>80</v>
      </c>
      <c r="T232" s="3">
        <v>12</v>
      </c>
      <c r="U232" s="3">
        <v>100</v>
      </c>
    </row>
    <row r="233" spans="1:21" x14ac:dyDescent="0.25">
      <c r="A233" s="3" t="s">
        <v>431</v>
      </c>
      <c r="B233" s="3" t="s">
        <v>124</v>
      </c>
      <c r="C233" s="3" t="str">
        <f t="shared" si="9"/>
        <v>Jan</v>
      </c>
      <c r="D233" s="3">
        <v>32</v>
      </c>
      <c r="E233" s="3" t="str">
        <f t="shared" si="10"/>
        <v>adult</v>
      </c>
      <c r="F233" s="3" t="s">
        <v>29</v>
      </c>
      <c r="G233" s="3" t="s">
        <v>48</v>
      </c>
      <c r="H233" s="3">
        <v>4768.0200000000004</v>
      </c>
      <c r="I233" s="3">
        <v>3</v>
      </c>
      <c r="J233" s="3">
        <f t="shared" si="11"/>
        <v>14304.060000000001</v>
      </c>
      <c r="K233" s="3" t="s">
        <v>39</v>
      </c>
      <c r="L233" s="3">
        <v>5</v>
      </c>
      <c r="M233" s="3">
        <v>1</v>
      </c>
      <c r="N233" s="3" t="s">
        <v>546</v>
      </c>
      <c r="O233" s="3" t="s">
        <v>551</v>
      </c>
      <c r="P233" s="3" t="s">
        <v>39</v>
      </c>
      <c r="Q233" s="3">
        <v>0.05</v>
      </c>
      <c r="R233" s="3">
        <v>400000</v>
      </c>
      <c r="S233" s="3">
        <v>50</v>
      </c>
      <c r="T233" s="3">
        <v>7</v>
      </c>
      <c r="U233" s="3">
        <v>40</v>
      </c>
    </row>
    <row r="234" spans="1:21" x14ac:dyDescent="0.25">
      <c r="A234" s="3" t="s">
        <v>432</v>
      </c>
      <c r="B234" s="3" t="s">
        <v>433</v>
      </c>
      <c r="C234" s="3" t="str">
        <f t="shared" si="9"/>
        <v>Nov</v>
      </c>
      <c r="D234" s="3">
        <v>27</v>
      </c>
      <c r="E234" s="3" t="str">
        <f t="shared" si="10"/>
        <v>adult</v>
      </c>
      <c r="F234" s="3" t="s">
        <v>54</v>
      </c>
      <c r="G234" s="3" t="s">
        <v>26</v>
      </c>
      <c r="H234" s="3">
        <v>3861.06</v>
      </c>
      <c r="I234" s="3">
        <v>1</v>
      </c>
      <c r="J234" s="3">
        <f t="shared" si="11"/>
        <v>3861.06</v>
      </c>
      <c r="K234" s="3" t="s">
        <v>22</v>
      </c>
      <c r="L234" s="3">
        <v>6</v>
      </c>
      <c r="M234" s="3">
        <v>2</v>
      </c>
      <c r="N234" s="3" t="s">
        <v>546</v>
      </c>
      <c r="O234" s="3" t="s">
        <v>545</v>
      </c>
      <c r="P234" s="3" t="s">
        <v>544</v>
      </c>
      <c r="Q234" s="3">
        <v>0.12</v>
      </c>
      <c r="R234" s="3">
        <v>240000</v>
      </c>
      <c r="S234" s="3">
        <v>31</v>
      </c>
      <c r="T234" s="3">
        <v>14</v>
      </c>
      <c r="U234" s="3">
        <v>30</v>
      </c>
    </row>
    <row r="235" spans="1:21" x14ac:dyDescent="0.25">
      <c r="A235" s="3" t="s">
        <v>434</v>
      </c>
      <c r="B235" s="3" t="s">
        <v>313</v>
      </c>
      <c r="C235" s="3" t="str">
        <f t="shared" si="9"/>
        <v>Sep</v>
      </c>
      <c r="D235" s="3">
        <v>39</v>
      </c>
      <c r="E235" s="3" t="str">
        <f t="shared" si="10"/>
        <v>adult</v>
      </c>
      <c r="F235" s="3" t="s">
        <v>34</v>
      </c>
      <c r="G235" s="3" t="s">
        <v>48</v>
      </c>
      <c r="H235" s="3">
        <v>2696.36</v>
      </c>
      <c r="I235" s="3">
        <v>3</v>
      </c>
      <c r="J235" s="3">
        <f t="shared" si="11"/>
        <v>8089.08</v>
      </c>
      <c r="K235" s="3" t="s">
        <v>22</v>
      </c>
      <c r="L235" s="3">
        <v>1</v>
      </c>
      <c r="M235" s="3">
        <v>4</v>
      </c>
      <c r="N235" s="3" t="s">
        <v>542</v>
      </c>
      <c r="O235" s="3" t="s">
        <v>551</v>
      </c>
      <c r="P235" s="3" t="s">
        <v>544</v>
      </c>
      <c r="Q235" s="3">
        <v>0.05</v>
      </c>
      <c r="R235" s="3">
        <v>400000</v>
      </c>
      <c r="S235" s="3">
        <v>31</v>
      </c>
      <c r="T235" s="3">
        <v>7</v>
      </c>
      <c r="U235" s="3">
        <v>40</v>
      </c>
    </row>
    <row r="236" spans="1:21" x14ac:dyDescent="0.25">
      <c r="A236" s="3" t="s">
        <v>435</v>
      </c>
      <c r="B236" s="3" t="s">
        <v>436</v>
      </c>
      <c r="C236" s="3" t="str">
        <f t="shared" si="9"/>
        <v>Jan</v>
      </c>
      <c r="D236" s="3">
        <v>46</v>
      </c>
      <c r="E236" s="3" t="str">
        <f t="shared" si="10"/>
        <v>adult</v>
      </c>
      <c r="F236" s="3" t="s">
        <v>25</v>
      </c>
      <c r="G236" s="3" t="s">
        <v>26</v>
      </c>
      <c r="H236" s="3">
        <v>2051.0100000000002</v>
      </c>
      <c r="I236" s="3">
        <v>1</v>
      </c>
      <c r="J236" s="3">
        <f t="shared" si="11"/>
        <v>2051.0100000000002</v>
      </c>
      <c r="K236" s="3" t="s">
        <v>22</v>
      </c>
      <c r="L236" s="3">
        <v>2</v>
      </c>
      <c r="M236" s="3">
        <v>4</v>
      </c>
      <c r="N236" s="3" t="s">
        <v>546</v>
      </c>
      <c r="O236" s="3" t="s">
        <v>545</v>
      </c>
      <c r="P236" s="3" t="s">
        <v>544</v>
      </c>
      <c r="Q236" s="3">
        <v>0.12</v>
      </c>
      <c r="R236" s="3">
        <v>240000</v>
      </c>
      <c r="S236" s="3">
        <v>31</v>
      </c>
      <c r="T236" s="3">
        <v>14</v>
      </c>
      <c r="U236" s="3">
        <v>30</v>
      </c>
    </row>
    <row r="237" spans="1:21" x14ac:dyDescent="0.25">
      <c r="A237" s="3" t="s">
        <v>437</v>
      </c>
      <c r="B237" s="3" t="s">
        <v>438</v>
      </c>
      <c r="C237" s="3" t="str">
        <f t="shared" si="9"/>
        <v>Jun</v>
      </c>
      <c r="D237" s="3">
        <v>42</v>
      </c>
      <c r="E237" s="3" t="str">
        <f t="shared" si="10"/>
        <v>adult</v>
      </c>
      <c r="F237" s="3" t="s">
        <v>45</v>
      </c>
      <c r="G237" s="3" t="s">
        <v>51</v>
      </c>
      <c r="H237" s="3">
        <v>4011.36</v>
      </c>
      <c r="I237" s="3">
        <v>5</v>
      </c>
      <c r="J237" s="3">
        <f t="shared" si="11"/>
        <v>20056.8</v>
      </c>
      <c r="K237" s="3" t="s">
        <v>39</v>
      </c>
      <c r="L237" s="3">
        <v>4</v>
      </c>
      <c r="M237" s="3">
        <v>3</v>
      </c>
      <c r="N237" s="3" t="s">
        <v>546</v>
      </c>
      <c r="O237" s="3" t="s">
        <v>552</v>
      </c>
      <c r="P237" s="3" t="s">
        <v>39</v>
      </c>
      <c r="Q237" s="3">
        <v>0.14000000000000001</v>
      </c>
      <c r="R237" s="3">
        <v>300000</v>
      </c>
      <c r="S237" s="3">
        <v>50</v>
      </c>
      <c r="T237" s="3">
        <v>12</v>
      </c>
      <c r="U237" s="3">
        <v>70</v>
      </c>
    </row>
    <row r="238" spans="1:21" x14ac:dyDescent="0.25">
      <c r="A238" s="3" t="s">
        <v>439</v>
      </c>
      <c r="B238" s="3" t="s">
        <v>440</v>
      </c>
      <c r="C238" s="3" t="str">
        <f t="shared" si="9"/>
        <v>Feb</v>
      </c>
      <c r="D238" s="3">
        <v>34</v>
      </c>
      <c r="E238" s="3" t="str">
        <f t="shared" si="10"/>
        <v>adult</v>
      </c>
      <c r="F238" s="3" t="s">
        <v>34</v>
      </c>
      <c r="G238" s="3" t="s">
        <v>35</v>
      </c>
      <c r="H238" s="3">
        <v>253.66</v>
      </c>
      <c r="I238" s="3">
        <v>4</v>
      </c>
      <c r="J238" s="3">
        <f t="shared" si="11"/>
        <v>1014.64</v>
      </c>
      <c r="K238" s="3" t="s">
        <v>31</v>
      </c>
      <c r="L238" s="3">
        <v>4</v>
      </c>
      <c r="M238" s="3">
        <v>1</v>
      </c>
      <c r="N238" s="3" t="s">
        <v>546</v>
      </c>
      <c r="O238" s="3" t="s">
        <v>549</v>
      </c>
      <c r="P238" s="3" t="s">
        <v>548</v>
      </c>
      <c r="Q238" s="3">
        <v>0.18</v>
      </c>
      <c r="R238" s="3">
        <v>450000</v>
      </c>
      <c r="S238" s="3">
        <v>50</v>
      </c>
      <c r="T238" s="3">
        <v>15</v>
      </c>
      <c r="U238" s="3">
        <v>50</v>
      </c>
    </row>
    <row r="239" spans="1:21" x14ac:dyDescent="0.25">
      <c r="A239" s="3" t="s">
        <v>441</v>
      </c>
      <c r="B239" s="3" t="s">
        <v>156</v>
      </c>
      <c r="C239" s="3" t="str">
        <f t="shared" si="9"/>
        <v>Jan</v>
      </c>
      <c r="D239" s="3">
        <v>35</v>
      </c>
      <c r="E239" s="3" t="str">
        <f t="shared" si="10"/>
        <v>adult</v>
      </c>
      <c r="F239" s="3" t="s">
        <v>29</v>
      </c>
      <c r="G239" s="3" t="s">
        <v>48</v>
      </c>
      <c r="H239" s="3">
        <v>844.24</v>
      </c>
      <c r="I239" s="3">
        <v>2</v>
      </c>
      <c r="J239" s="3">
        <f t="shared" si="11"/>
        <v>1688.48</v>
      </c>
      <c r="K239" s="3" t="s">
        <v>36</v>
      </c>
      <c r="L239" s="3">
        <v>3</v>
      </c>
      <c r="M239" s="3">
        <v>5</v>
      </c>
      <c r="N239" s="3" t="s">
        <v>546</v>
      </c>
      <c r="O239" s="3" t="s">
        <v>551</v>
      </c>
      <c r="P239" s="3" t="s">
        <v>11</v>
      </c>
      <c r="Q239" s="3">
        <v>0.05</v>
      </c>
      <c r="R239" s="3">
        <v>400000</v>
      </c>
      <c r="S239" s="3">
        <v>80</v>
      </c>
      <c r="T239" s="3">
        <v>7</v>
      </c>
      <c r="U239" s="3">
        <v>40</v>
      </c>
    </row>
    <row r="240" spans="1:21" x14ac:dyDescent="0.25">
      <c r="A240" s="3" t="s">
        <v>442</v>
      </c>
      <c r="B240" s="3" t="s">
        <v>166</v>
      </c>
      <c r="C240" s="3" t="str">
        <f t="shared" si="9"/>
        <v>Aug</v>
      </c>
      <c r="D240" s="3">
        <v>43</v>
      </c>
      <c r="E240" s="3" t="str">
        <f t="shared" si="10"/>
        <v>adult</v>
      </c>
      <c r="F240" s="3" t="s">
        <v>25</v>
      </c>
      <c r="G240" s="3" t="s">
        <v>26</v>
      </c>
      <c r="H240" s="3">
        <v>787.3</v>
      </c>
      <c r="I240" s="3">
        <v>1</v>
      </c>
      <c r="J240" s="3">
        <f t="shared" si="11"/>
        <v>787.3</v>
      </c>
      <c r="K240" s="3" t="s">
        <v>39</v>
      </c>
      <c r="L240" s="3">
        <v>8</v>
      </c>
      <c r="M240" s="3">
        <v>2</v>
      </c>
      <c r="N240" s="3" t="s">
        <v>546</v>
      </c>
      <c r="O240" s="3" t="s">
        <v>545</v>
      </c>
      <c r="P240" s="3" t="s">
        <v>39</v>
      </c>
      <c r="Q240" s="3">
        <v>0.12</v>
      </c>
      <c r="R240" s="3">
        <v>240000</v>
      </c>
      <c r="S240" s="3">
        <v>50</v>
      </c>
      <c r="T240" s="3">
        <v>14</v>
      </c>
      <c r="U240" s="3">
        <v>30</v>
      </c>
    </row>
    <row r="241" spans="1:21" x14ac:dyDescent="0.25">
      <c r="A241" s="3" t="s">
        <v>443</v>
      </c>
      <c r="B241" s="3" t="s">
        <v>444</v>
      </c>
      <c r="C241" s="3" t="str">
        <f t="shared" si="9"/>
        <v>May</v>
      </c>
      <c r="D241" s="3">
        <v>47</v>
      </c>
      <c r="E241" s="3" t="str">
        <f t="shared" si="10"/>
        <v>adult</v>
      </c>
      <c r="F241" s="3" t="s">
        <v>34</v>
      </c>
      <c r="G241" s="3" t="s">
        <v>26</v>
      </c>
      <c r="H241" s="3">
        <v>1553.51</v>
      </c>
      <c r="I241" s="3">
        <v>2</v>
      </c>
      <c r="J241" s="3">
        <f t="shared" si="11"/>
        <v>3107.02</v>
      </c>
      <c r="K241" s="3" t="s">
        <v>36</v>
      </c>
      <c r="L241" s="3">
        <v>8</v>
      </c>
      <c r="M241" s="3">
        <v>4</v>
      </c>
      <c r="N241" s="3" t="s">
        <v>546</v>
      </c>
      <c r="O241" s="3" t="s">
        <v>545</v>
      </c>
      <c r="P241" s="3" t="s">
        <v>11</v>
      </c>
      <c r="Q241" s="3">
        <v>0.12</v>
      </c>
      <c r="R241" s="3">
        <v>240000</v>
      </c>
      <c r="S241" s="3">
        <v>80</v>
      </c>
      <c r="T241" s="3">
        <v>14</v>
      </c>
      <c r="U241" s="3">
        <v>30</v>
      </c>
    </row>
    <row r="242" spans="1:21" x14ac:dyDescent="0.25">
      <c r="A242" s="3" t="s">
        <v>445</v>
      </c>
      <c r="B242" s="3" t="s">
        <v>286</v>
      </c>
      <c r="C242" s="3" t="str">
        <f t="shared" si="9"/>
        <v>Mar</v>
      </c>
      <c r="D242" s="3">
        <v>29</v>
      </c>
      <c r="E242" s="3" t="str">
        <f t="shared" si="10"/>
        <v>adult</v>
      </c>
      <c r="F242" s="3" t="s">
        <v>34</v>
      </c>
      <c r="G242" s="3" t="s">
        <v>48</v>
      </c>
      <c r="H242" s="3">
        <v>2692.39</v>
      </c>
      <c r="I242" s="3">
        <v>4</v>
      </c>
      <c r="J242" s="3">
        <f t="shared" si="11"/>
        <v>10769.56</v>
      </c>
      <c r="K242" s="3" t="s">
        <v>31</v>
      </c>
      <c r="L242" s="3">
        <v>3</v>
      </c>
      <c r="M242" s="3">
        <v>3</v>
      </c>
      <c r="N242" s="3" t="s">
        <v>546</v>
      </c>
      <c r="O242" s="3" t="s">
        <v>551</v>
      </c>
      <c r="P242" s="3" t="s">
        <v>548</v>
      </c>
      <c r="Q242" s="3">
        <v>0.05</v>
      </c>
      <c r="R242" s="3">
        <v>400000</v>
      </c>
      <c r="S242" s="3">
        <v>50</v>
      </c>
      <c r="T242" s="3">
        <v>7</v>
      </c>
      <c r="U242" s="3">
        <v>40</v>
      </c>
    </row>
    <row r="243" spans="1:21" x14ac:dyDescent="0.25">
      <c r="A243" s="3" t="s">
        <v>446</v>
      </c>
      <c r="B243" s="3" t="s">
        <v>447</v>
      </c>
      <c r="C243" s="3" t="str">
        <f t="shared" si="9"/>
        <v>Jul</v>
      </c>
      <c r="D243" s="3">
        <v>41</v>
      </c>
      <c r="E243" s="3" t="str">
        <f t="shared" si="10"/>
        <v>adult</v>
      </c>
      <c r="F243" s="3" t="s">
        <v>29</v>
      </c>
      <c r="G243" s="3" t="s">
        <v>51</v>
      </c>
      <c r="H243" s="3">
        <v>2367.52</v>
      </c>
      <c r="I243" s="3">
        <v>5</v>
      </c>
      <c r="J243" s="3">
        <f t="shared" si="11"/>
        <v>11837.6</v>
      </c>
      <c r="K243" s="3" t="s">
        <v>22</v>
      </c>
      <c r="L243" s="3">
        <v>1</v>
      </c>
      <c r="M243" s="3">
        <v>3</v>
      </c>
      <c r="N243" s="3" t="s">
        <v>546</v>
      </c>
      <c r="O243" s="3" t="s">
        <v>552</v>
      </c>
      <c r="P243" s="3" t="s">
        <v>544</v>
      </c>
      <c r="Q243" s="3">
        <v>0.14000000000000001</v>
      </c>
      <c r="R243" s="3">
        <v>300000</v>
      </c>
      <c r="S243" s="3">
        <v>31</v>
      </c>
      <c r="T243" s="3">
        <v>12</v>
      </c>
      <c r="U243" s="3">
        <v>70</v>
      </c>
    </row>
    <row r="244" spans="1:21" x14ac:dyDescent="0.25">
      <c r="A244" s="3" t="s">
        <v>448</v>
      </c>
      <c r="B244" s="3" t="s">
        <v>449</v>
      </c>
      <c r="C244" s="3" t="str">
        <f t="shared" si="9"/>
        <v>Oct</v>
      </c>
      <c r="D244" s="3">
        <v>38</v>
      </c>
      <c r="E244" s="3" t="str">
        <f t="shared" si="10"/>
        <v>adult</v>
      </c>
      <c r="F244" s="3" t="s">
        <v>25</v>
      </c>
      <c r="G244" s="3" t="s">
        <v>21</v>
      </c>
      <c r="H244" s="3">
        <v>530.11</v>
      </c>
      <c r="I244" s="3">
        <v>4</v>
      </c>
      <c r="J244" s="3">
        <f t="shared" si="11"/>
        <v>2120.44</v>
      </c>
      <c r="K244" s="3" t="s">
        <v>42</v>
      </c>
      <c r="L244" s="3">
        <v>10</v>
      </c>
      <c r="M244" s="3">
        <v>5</v>
      </c>
      <c r="N244" s="3" t="s">
        <v>542</v>
      </c>
      <c r="O244" s="3" t="s">
        <v>543</v>
      </c>
      <c r="P244" s="3" t="s">
        <v>550</v>
      </c>
      <c r="Q244" s="3">
        <v>0.1</v>
      </c>
      <c r="R244" s="3">
        <v>560000</v>
      </c>
      <c r="S244" s="3">
        <v>90</v>
      </c>
      <c r="T244" s="3">
        <v>13</v>
      </c>
      <c r="U244" s="3">
        <v>60</v>
      </c>
    </row>
    <row r="245" spans="1:21" x14ac:dyDescent="0.25">
      <c r="A245" s="3" t="s">
        <v>450</v>
      </c>
      <c r="B245" s="3" t="s">
        <v>94</v>
      </c>
      <c r="C245" s="3" t="str">
        <f t="shared" si="9"/>
        <v>Aug</v>
      </c>
      <c r="D245" s="3">
        <v>40</v>
      </c>
      <c r="E245" s="3" t="str">
        <f t="shared" si="10"/>
        <v>adult</v>
      </c>
      <c r="F245" s="3" t="s">
        <v>29</v>
      </c>
      <c r="G245" s="3" t="s">
        <v>30</v>
      </c>
      <c r="H245" s="3">
        <v>2710.8</v>
      </c>
      <c r="I245" s="3">
        <v>1</v>
      </c>
      <c r="J245" s="3">
        <f t="shared" si="11"/>
        <v>2710.8</v>
      </c>
      <c r="K245" s="3" t="s">
        <v>36</v>
      </c>
      <c r="L245" s="3">
        <v>7</v>
      </c>
      <c r="M245" s="3">
        <v>2</v>
      </c>
      <c r="N245" s="3" t="s">
        <v>546</v>
      </c>
      <c r="O245" s="3" t="s">
        <v>547</v>
      </c>
      <c r="P245" s="3" t="s">
        <v>11</v>
      </c>
      <c r="Q245" s="3">
        <v>0.12</v>
      </c>
      <c r="R245" s="3">
        <v>350000</v>
      </c>
      <c r="S245" s="3">
        <v>80</v>
      </c>
      <c r="T245" s="3">
        <v>12</v>
      </c>
      <c r="U245" s="3">
        <v>100</v>
      </c>
    </row>
    <row r="246" spans="1:21" x14ac:dyDescent="0.25">
      <c r="A246" s="3" t="s">
        <v>451</v>
      </c>
      <c r="B246" s="3" t="s">
        <v>452</v>
      </c>
      <c r="C246" s="3" t="str">
        <f t="shared" si="9"/>
        <v>Jun</v>
      </c>
      <c r="D246" s="3">
        <v>60</v>
      </c>
      <c r="E246" s="3" t="str">
        <f t="shared" si="10"/>
        <v>senior</v>
      </c>
      <c r="F246" s="3" t="s">
        <v>25</v>
      </c>
      <c r="G246" s="3" t="s">
        <v>26</v>
      </c>
      <c r="H246" s="3">
        <v>3305.85</v>
      </c>
      <c r="I246" s="3">
        <v>1</v>
      </c>
      <c r="J246" s="3">
        <f t="shared" si="11"/>
        <v>3305.85</v>
      </c>
      <c r="K246" s="3" t="s">
        <v>22</v>
      </c>
      <c r="L246" s="3">
        <v>6</v>
      </c>
      <c r="M246" s="3">
        <v>4</v>
      </c>
      <c r="N246" s="3" t="s">
        <v>546</v>
      </c>
      <c r="O246" s="3" t="s">
        <v>545</v>
      </c>
      <c r="P246" s="3" t="s">
        <v>544</v>
      </c>
      <c r="Q246" s="3">
        <v>0.12</v>
      </c>
      <c r="R246" s="3">
        <v>240000</v>
      </c>
      <c r="S246" s="3">
        <v>31</v>
      </c>
      <c r="T246" s="3">
        <v>14</v>
      </c>
      <c r="U246" s="3">
        <v>30</v>
      </c>
    </row>
    <row r="247" spans="1:21" x14ac:dyDescent="0.25">
      <c r="A247" s="3" t="s">
        <v>453</v>
      </c>
      <c r="B247" s="3" t="s">
        <v>454</v>
      </c>
      <c r="C247" s="3" t="str">
        <f t="shared" si="9"/>
        <v>Jan</v>
      </c>
      <c r="D247" s="3">
        <v>49</v>
      </c>
      <c r="E247" s="3" t="str">
        <f t="shared" si="10"/>
        <v>adult</v>
      </c>
      <c r="F247" s="3" t="s">
        <v>34</v>
      </c>
      <c r="G247" s="3" t="s">
        <v>26</v>
      </c>
      <c r="H247" s="3">
        <v>3100.32</v>
      </c>
      <c r="I247" s="3">
        <v>3</v>
      </c>
      <c r="J247" s="3">
        <f t="shared" si="11"/>
        <v>9300.9600000000009</v>
      </c>
      <c r="K247" s="3" t="s">
        <v>22</v>
      </c>
      <c r="L247" s="3">
        <v>2</v>
      </c>
      <c r="M247" s="3">
        <v>1</v>
      </c>
      <c r="N247" s="3" t="s">
        <v>546</v>
      </c>
      <c r="O247" s="3" t="s">
        <v>545</v>
      </c>
      <c r="P247" s="3" t="s">
        <v>544</v>
      </c>
      <c r="Q247" s="3">
        <v>0.12</v>
      </c>
      <c r="R247" s="3">
        <v>240000</v>
      </c>
      <c r="S247" s="3">
        <v>31</v>
      </c>
      <c r="T247" s="3">
        <v>14</v>
      </c>
      <c r="U247" s="3">
        <v>30</v>
      </c>
    </row>
    <row r="248" spans="1:21" x14ac:dyDescent="0.25">
      <c r="A248" s="3" t="s">
        <v>455</v>
      </c>
      <c r="B248" s="3" t="s">
        <v>456</v>
      </c>
      <c r="C248" s="3" t="str">
        <f t="shared" si="9"/>
        <v>Mar</v>
      </c>
      <c r="D248" s="3">
        <v>36</v>
      </c>
      <c r="E248" s="3" t="str">
        <f t="shared" si="10"/>
        <v>adult</v>
      </c>
      <c r="F248" s="3" t="s">
        <v>25</v>
      </c>
      <c r="G248" s="3" t="s">
        <v>51</v>
      </c>
      <c r="H248" s="3">
        <v>397.88</v>
      </c>
      <c r="I248" s="3">
        <v>1</v>
      </c>
      <c r="J248" s="3">
        <f t="shared" si="11"/>
        <v>397.88</v>
      </c>
      <c r="K248" s="3" t="s">
        <v>31</v>
      </c>
      <c r="L248" s="3">
        <v>2</v>
      </c>
      <c r="M248" s="3">
        <v>3</v>
      </c>
      <c r="N248" s="3" t="s">
        <v>546</v>
      </c>
      <c r="O248" s="3" t="s">
        <v>552</v>
      </c>
      <c r="P248" s="3" t="s">
        <v>548</v>
      </c>
      <c r="Q248" s="3">
        <v>0.14000000000000001</v>
      </c>
      <c r="R248" s="3">
        <v>300000</v>
      </c>
      <c r="S248" s="3">
        <v>50</v>
      </c>
      <c r="T248" s="3">
        <v>12</v>
      </c>
      <c r="U248" s="3">
        <v>70</v>
      </c>
    </row>
    <row r="249" spans="1:21" x14ac:dyDescent="0.25">
      <c r="A249" s="3" t="s">
        <v>457</v>
      </c>
      <c r="B249" s="3" t="s">
        <v>413</v>
      </c>
      <c r="C249" s="3" t="str">
        <f t="shared" si="9"/>
        <v>Dec</v>
      </c>
      <c r="D249" s="3">
        <v>39</v>
      </c>
      <c r="E249" s="3" t="str">
        <f t="shared" si="10"/>
        <v>adult</v>
      </c>
      <c r="F249" s="3" t="s">
        <v>20</v>
      </c>
      <c r="G249" s="3" t="s">
        <v>35</v>
      </c>
      <c r="H249" s="3">
        <v>4597.71</v>
      </c>
      <c r="I249" s="3">
        <v>2</v>
      </c>
      <c r="J249" s="3">
        <f t="shared" si="11"/>
        <v>9195.42</v>
      </c>
      <c r="K249" s="3" t="s">
        <v>36</v>
      </c>
      <c r="L249" s="3">
        <v>10</v>
      </c>
      <c r="M249" s="3">
        <v>1</v>
      </c>
      <c r="N249" s="3" t="s">
        <v>546</v>
      </c>
      <c r="O249" s="3" t="s">
        <v>549</v>
      </c>
      <c r="P249" s="3" t="s">
        <v>11</v>
      </c>
      <c r="Q249" s="3">
        <v>0.18</v>
      </c>
      <c r="R249" s="3">
        <v>450000</v>
      </c>
      <c r="S249" s="3">
        <v>80</v>
      </c>
      <c r="T249" s="3">
        <v>15</v>
      </c>
      <c r="U249" s="3">
        <v>50</v>
      </c>
    </row>
    <row r="250" spans="1:21" x14ac:dyDescent="0.25">
      <c r="A250" s="3" t="s">
        <v>458</v>
      </c>
      <c r="B250" s="3" t="s">
        <v>86</v>
      </c>
      <c r="C250" s="3" t="str">
        <f t="shared" si="9"/>
        <v>May</v>
      </c>
      <c r="D250" s="3">
        <v>57</v>
      </c>
      <c r="E250" s="3" t="str">
        <f t="shared" si="10"/>
        <v>senior</v>
      </c>
      <c r="F250" s="3" t="s">
        <v>29</v>
      </c>
      <c r="G250" s="3" t="s">
        <v>30</v>
      </c>
      <c r="H250" s="3">
        <v>4512.43</v>
      </c>
      <c r="I250" s="3">
        <v>2</v>
      </c>
      <c r="J250" s="3">
        <f t="shared" si="11"/>
        <v>9024.86</v>
      </c>
      <c r="K250" s="3" t="s">
        <v>39</v>
      </c>
      <c r="L250" s="3">
        <v>7</v>
      </c>
      <c r="M250" s="3">
        <v>3</v>
      </c>
      <c r="N250" s="3" t="s">
        <v>546</v>
      </c>
      <c r="O250" s="3" t="s">
        <v>547</v>
      </c>
      <c r="P250" s="3" t="s">
        <v>39</v>
      </c>
      <c r="Q250" s="3">
        <v>0.12</v>
      </c>
      <c r="R250" s="3">
        <v>350000</v>
      </c>
      <c r="S250" s="3">
        <v>50</v>
      </c>
      <c r="T250" s="3">
        <v>12</v>
      </c>
      <c r="U250" s="3">
        <v>100</v>
      </c>
    </row>
    <row r="251" spans="1:21" x14ac:dyDescent="0.25">
      <c r="A251" s="3" t="s">
        <v>459</v>
      </c>
      <c r="B251" s="3" t="s">
        <v>460</v>
      </c>
      <c r="C251" s="3" t="str">
        <f t="shared" si="9"/>
        <v>Oct</v>
      </c>
      <c r="D251" s="3">
        <v>51</v>
      </c>
      <c r="E251" s="3" t="str">
        <f t="shared" si="10"/>
        <v>senior</v>
      </c>
      <c r="F251" s="3" t="s">
        <v>34</v>
      </c>
      <c r="G251" s="3" t="s">
        <v>30</v>
      </c>
      <c r="H251" s="3">
        <v>2654.38</v>
      </c>
      <c r="I251" s="3">
        <v>5</v>
      </c>
      <c r="J251" s="3">
        <f t="shared" si="11"/>
        <v>13271.900000000001</v>
      </c>
      <c r="K251" s="3" t="s">
        <v>22</v>
      </c>
      <c r="L251" s="3">
        <v>5</v>
      </c>
      <c r="M251" s="3">
        <v>1</v>
      </c>
      <c r="N251" s="3" t="s">
        <v>546</v>
      </c>
      <c r="O251" s="3" t="s">
        <v>547</v>
      </c>
      <c r="P251" s="3" t="s">
        <v>544</v>
      </c>
      <c r="Q251" s="3">
        <v>0.12</v>
      </c>
      <c r="R251" s="3">
        <v>350000</v>
      </c>
      <c r="S251" s="3">
        <v>31</v>
      </c>
      <c r="T251" s="3">
        <v>12</v>
      </c>
      <c r="U251" s="3">
        <v>100</v>
      </c>
    </row>
    <row r="252" spans="1:21" x14ac:dyDescent="0.25">
      <c r="A252" s="3" t="s">
        <v>461</v>
      </c>
      <c r="B252" s="3" t="s">
        <v>462</v>
      </c>
      <c r="C252" s="3" t="str">
        <f t="shared" si="9"/>
        <v>Dec</v>
      </c>
      <c r="D252" s="3">
        <v>43</v>
      </c>
      <c r="E252" s="3" t="str">
        <f t="shared" si="10"/>
        <v>adult</v>
      </c>
      <c r="F252" s="3" t="s">
        <v>25</v>
      </c>
      <c r="G252" s="3" t="s">
        <v>48</v>
      </c>
      <c r="H252" s="3">
        <v>3470.39</v>
      </c>
      <c r="I252" s="3">
        <v>4</v>
      </c>
      <c r="J252" s="3">
        <f t="shared" si="11"/>
        <v>13881.56</v>
      </c>
      <c r="K252" s="3" t="s">
        <v>39</v>
      </c>
      <c r="L252" s="3">
        <v>8</v>
      </c>
      <c r="M252" s="3">
        <v>3</v>
      </c>
      <c r="N252" s="3" t="s">
        <v>546</v>
      </c>
      <c r="O252" s="3" t="s">
        <v>551</v>
      </c>
      <c r="P252" s="3" t="s">
        <v>39</v>
      </c>
      <c r="Q252" s="3">
        <v>0.05</v>
      </c>
      <c r="R252" s="3">
        <v>400000</v>
      </c>
      <c r="S252" s="3">
        <v>50</v>
      </c>
      <c r="T252" s="3">
        <v>7</v>
      </c>
      <c r="U252" s="3">
        <v>40</v>
      </c>
    </row>
    <row r="253" spans="1:21" x14ac:dyDescent="0.25">
      <c r="A253" s="3" t="s">
        <v>463</v>
      </c>
      <c r="B253" s="3" t="s">
        <v>464</v>
      </c>
      <c r="C253" s="3" t="str">
        <f t="shared" si="9"/>
        <v>Dec</v>
      </c>
      <c r="D253" s="3">
        <v>31</v>
      </c>
      <c r="E253" s="3" t="str">
        <f t="shared" si="10"/>
        <v>adult</v>
      </c>
      <c r="F253" s="3" t="s">
        <v>45</v>
      </c>
      <c r="G253" s="3" t="s">
        <v>35</v>
      </c>
      <c r="H253" s="3">
        <v>3464.58</v>
      </c>
      <c r="I253" s="3">
        <v>1</v>
      </c>
      <c r="J253" s="3">
        <f t="shared" si="11"/>
        <v>3464.58</v>
      </c>
      <c r="K253" s="3" t="s">
        <v>31</v>
      </c>
      <c r="L253" s="3">
        <v>7</v>
      </c>
      <c r="M253" s="3">
        <v>1</v>
      </c>
      <c r="N253" s="3" t="s">
        <v>546</v>
      </c>
      <c r="O253" s="3" t="s">
        <v>549</v>
      </c>
      <c r="P253" s="3" t="s">
        <v>548</v>
      </c>
      <c r="Q253" s="3">
        <v>0.18</v>
      </c>
      <c r="R253" s="3">
        <v>450000</v>
      </c>
      <c r="S253" s="3">
        <v>50</v>
      </c>
      <c r="T253" s="3">
        <v>15</v>
      </c>
      <c r="U253" s="3">
        <v>50</v>
      </c>
    </row>
    <row r="254" spans="1:21" x14ac:dyDescent="0.25">
      <c r="A254" s="3" t="s">
        <v>465</v>
      </c>
      <c r="B254" s="3" t="s">
        <v>466</v>
      </c>
      <c r="C254" s="3" t="str">
        <f t="shared" si="9"/>
        <v>Apr</v>
      </c>
      <c r="D254" s="3">
        <v>30</v>
      </c>
      <c r="E254" s="3" t="str">
        <f t="shared" si="10"/>
        <v>adult</v>
      </c>
      <c r="F254" s="3" t="s">
        <v>25</v>
      </c>
      <c r="G254" s="3" t="s">
        <v>30</v>
      </c>
      <c r="H254" s="3">
        <v>1796.34</v>
      </c>
      <c r="I254" s="3">
        <v>4</v>
      </c>
      <c r="J254" s="3">
        <f t="shared" si="11"/>
        <v>7185.36</v>
      </c>
      <c r="K254" s="3" t="s">
        <v>31</v>
      </c>
      <c r="L254" s="3">
        <v>8</v>
      </c>
      <c r="M254" s="3">
        <v>1</v>
      </c>
      <c r="N254" s="3" t="s">
        <v>546</v>
      </c>
      <c r="O254" s="3" t="s">
        <v>547</v>
      </c>
      <c r="P254" s="3" t="s">
        <v>548</v>
      </c>
      <c r="Q254" s="3">
        <v>0.12</v>
      </c>
      <c r="R254" s="3">
        <v>350000</v>
      </c>
      <c r="S254" s="3">
        <v>50</v>
      </c>
      <c r="T254" s="3">
        <v>12</v>
      </c>
      <c r="U254" s="3">
        <v>100</v>
      </c>
    </row>
    <row r="255" spans="1:21" x14ac:dyDescent="0.25">
      <c r="A255" s="3" t="s">
        <v>467</v>
      </c>
      <c r="B255" s="3" t="s">
        <v>468</v>
      </c>
      <c r="C255" s="3" t="str">
        <f t="shared" si="9"/>
        <v>Nov</v>
      </c>
      <c r="D255" s="3">
        <v>37</v>
      </c>
      <c r="E255" s="3" t="str">
        <f t="shared" si="10"/>
        <v>adult</v>
      </c>
      <c r="F255" s="3" t="s">
        <v>45</v>
      </c>
      <c r="G255" s="3" t="s">
        <v>26</v>
      </c>
      <c r="H255" s="3">
        <v>3711.88</v>
      </c>
      <c r="I255" s="3">
        <v>2</v>
      </c>
      <c r="J255" s="3">
        <f t="shared" si="11"/>
        <v>7423.76</v>
      </c>
      <c r="K255" s="3" t="s">
        <v>31</v>
      </c>
      <c r="L255" s="3">
        <v>5</v>
      </c>
      <c r="M255" s="3">
        <v>3</v>
      </c>
      <c r="N255" s="3" t="s">
        <v>546</v>
      </c>
      <c r="O255" s="3" t="s">
        <v>545</v>
      </c>
      <c r="P255" s="3" t="s">
        <v>548</v>
      </c>
      <c r="Q255" s="3">
        <v>0.12</v>
      </c>
      <c r="R255" s="3">
        <v>240000</v>
      </c>
      <c r="S255" s="3">
        <v>50</v>
      </c>
      <c r="T255" s="3">
        <v>14</v>
      </c>
      <c r="U255" s="3">
        <v>30</v>
      </c>
    </row>
    <row r="256" spans="1:21" x14ac:dyDescent="0.25">
      <c r="A256" s="3" t="s">
        <v>469</v>
      </c>
      <c r="B256" s="3" t="s">
        <v>177</v>
      </c>
      <c r="C256" s="3" t="str">
        <f t="shared" si="9"/>
        <v>Oct</v>
      </c>
      <c r="D256" s="3">
        <v>28</v>
      </c>
      <c r="E256" s="3" t="str">
        <f t="shared" si="10"/>
        <v>adult</v>
      </c>
      <c r="F256" s="3" t="s">
        <v>54</v>
      </c>
      <c r="G256" s="3" t="s">
        <v>26</v>
      </c>
      <c r="H256" s="3">
        <v>3305.92</v>
      </c>
      <c r="I256" s="3">
        <v>5</v>
      </c>
      <c r="J256" s="3">
        <f t="shared" si="11"/>
        <v>16529.599999999999</v>
      </c>
      <c r="K256" s="3" t="s">
        <v>42</v>
      </c>
      <c r="L256" s="3">
        <v>6</v>
      </c>
      <c r="M256" s="3">
        <v>3</v>
      </c>
      <c r="N256" s="3" t="s">
        <v>546</v>
      </c>
      <c r="O256" s="3" t="s">
        <v>545</v>
      </c>
      <c r="P256" s="3" t="s">
        <v>550</v>
      </c>
      <c r="Q256" s="3">
        <v>0.12</v>
      </c>
      <c r="R256" s="3">
        <v>240000</v>
      </c>
      <c r="S256" s="3">
        <v>90</v>
      </c>
      <c r="T256" s="3">
        <v>14</v>
      </c>
      <c r="U256" s="3">
        <v>30</v>
      </c>
    </row>
    <row r="257" spans="1:21" x14ac:dyDescent="0.25">
      <c r="A257" s="3" t="s">
        <v>470</v>
      </c>
      <c r="B257" s="3" t="s">
        <v>471</v>
      </c>
      <c r="C257" s="3" t="str">
        <f t="shared" si="9"/>
        <v>Mar</v>
      </c>
      <c r="D257" s="3">
        <v>37</v>
      </c>
      <c r="E257" s="3" t="str">
        <f t="shared" si="10"/>
        <v>adult</v>
      </c>
      <c r="F257" s="3" t="s">
        <v>29</v>
      </c>
      <c r="G257" s="3" t="s">
        <v>35</v>
      </c>
      <c r="H257" s="3">
        <v>3869.02</v>
      </c>
      <c r="I257" s="3">
        <v>2</v>
      </c>
      <c r="J257" s="3">
        <f t="shared" si="11"/>
        <v>7738.04</v>
      </c>
      <c r="K257" s="3" t="s">
        <v>31</v>
      </c>
      <c r="L257" s="3">
        <v>8</v>
      </c>
      <c r="M257" s="3">
        <v>4</v>
      </c>
      <c r="N257" s="3" t="s">
        <v>546</v>
      </c>
      <c r="O257" s="3" t="s">
        <v>549</v>
      </c>
      <c r="P257" s="3" t="s">
        <v>548</v>
      </c>
      <c r="Q257" s="3">
        <v>0.18</v>
      </c>
      <c r="R257" s="3">
        <v>450000</v>
      </c>
      <c r="S257" s="3">
        <v>50</v>
      </c>
      <c r="T257" s="3">
        <v>15</v>
      </c>
      <c r="U257" s="3">
        <v>50</v>
      </c>
    </row>
    <row r="258" spans="1:21" x14ac:dyDescent="0.25">
      <c r="A258" s="3" t="s">
        <v>472</v>
      </c>
      <c r="B258" s="3" t="s">
        <v>473</v>
      </c>
      <c r="C258" s="3" t="str">
        <f t="shared" ref="C258:C301" si="12">TEXT(B258,"mmm")</f>
        <v>May</v>
      </c>
      <c r="D258" s="3">
        <v>41</v>
      </c>
      <c r="E258" s="3" t="str">
        <f t="shared" si="10"/>
        <v>adult</v>
      </c>
      <c r="F258" s="3" t="s">
        <v>25</v>
      </c>
      <c r="G258" s="3" t="s">
        <v>26</v>
      </c>
      <c r="H258" s="3">
        <v>1047.23</v>
      </c>
      <c r="I258" s="3">
        <v>3</v>
      </c>
      <c r="J258" s="3">
        <f t="shared" si="11"/>
        <v>3141.69</v>
      </c>
      <c r="K258" s="3" t="s">
        <v>36</v>
      </c>
      <c r="L258" s="3">
        <v>10</v>
      </c>
      <c r="M258" s="3">
        <v>4</v>
      </c>
      <c r="N258" s="3" t="s">
        <v>542</v>
      </c>
      <c r="O258" s="3" t="s">
        <v>545</v>
      </c>
      <c r="P258" s="3" t="s">
        <v>11</v>
      </c>
      <c r="Q258" s="3">
        <v>0.12</v>
      </c>
      <c r="R258" s="3">
        <v>240000</v>
      </c>
      <c r="S258" s="3">
        <v>80</v>
      </c>
      <c r="T258" s="3">
        <v>14</v>
      </c>
      <c r="U258" s="3">
        <v>30</v>
      </c>
    </row>
    <row r="259" spans="1:21" x14ac:dyDescent="0.25">
      <c r="A259" s="3" t="s">
        <v>474</v>
      </c>
      <c r="B259" s="3" t="s">
        <v>475</v>
      </c>
      <c r="C259" s="3" t="str">
        <f t="shared" si="12"/>
        <v>Dec</v>
      </c>
      <c r="D259" s="3">
        <v>41</v>
      </c>
      <c r="E259" s="3" t="str">
        <f t="shared" ref="E259:E301" si="13">IF(D259&gt;50,"senior",IF(D259&gt;=21,"adult","teenager"))</f>
        <v>adult</v>
      </c>
      <c r="F259" s="3" t="s">
        <v>45</v>
      </c>
      <c r="G259" s="3" t="s">
        <v>51</v>
      </c>
      <c r="H259" s="3">
        <v>3339.63</v>
      </c>
      <c r="I259" s="3">
        <v>2</v>
      </c>
      <c r="J259" s="3">
        <f t="shared" ref="J259:J301" si="14">H259*I259</f>
        <v>6679.26</v>
      </c>
      <c r="K259" s="3" t="s">
        <v>22</v>
      </c>
      <c r="L259" s="3">
        <v>10</v>
      </c>
      <c r="M259" s="3">
        <v>1</v>
      </c>
      <c r="N259" s="3" t="s">
        <v>546</v>
      </c>
      <c r="O259" s="3" t="s">
        <v>552</v>
      </c>
      <c r="P259" s="3" t="s">
        <v>544</v>
      </c>
      <c r="Q259" s="3">
        <v>0.14000000000000001</v>
      </c>
      <c r="R259" s="3">
        <v>300000</v>
      </c>
      <c r="S259" s="3">
        <v>31</v>
      </c>
      <c r="T259" s="3">
        <v>12</v>
      </c>
      <c r="U259" s="3">
        <v>70</v>
      </c>
    </row>
    <row r="260" spans="1:21" x14ac:dyDescent="0.25">
      <c r="A260" s="3" t="s">
        <v>476</v>
      </c>
      <c r="B260" s="3" t="s">
        <v>477</v>
      </c>
      <c r="C260" s="3" t="str">
        <f t="shared" si="12"/>
        <v>Jul</v>
      </c>
      <c r="D260" s="3">
        <v>42</v>
      </c>
      <c r="E260" s="3" t="str">
        <f t="shared" si="13"/>
        <v>adult</v>
      </c>
      <c r="F260" s="3" t="s">
        <v>34</v>
      </c>
      <c r="G260" s="3" t="s">
        <v>21</v>
      </c>
      <c r="H260" s="3">
        <v>3662.32</v>
      </c>
      <c r="I260" s="3">
        <v>4</v>
      </c>
      <c r="J260" s="3">
        <f t="shared" si="14"/>
        <v>14649.28</v>
      </c>
      <c r="K260" s="3" t="s">
        <v>42</v>
      </c>
      <c r="L260" s="3">
        <v>5</v>
      </c>
      <c r="M260" s="3">
        <v>2</v>
      </c>
      <c r="N260" s="3" t="s">
        <v>546</v>
      </c>
      <c r="O260" s="3" t="s">
        <v>543</v>
      </c>
      <c r="P260" s="3" t="s">
        <v>550</v>
      </c>
      <c r="Q260" s="3">
        <v>0.1</v>
      </c>
      <c r="R260" s="3">
        <v>560000</v>
      </c>
      <c r="S260" s="3">
        <v>90</v>
      </c>
      <c r="T260" s="3">
        <v>13</v>
      </c>
      <c r="U260" s="3">
        <v>60</v>
      </c>
    </row>
    <row r="261" spans="1:21" x14ac:dyDescent="0.25">
      <c r="A261" s="3" t="s">
        <v>478</v>
      </c>
      <c r="B261" s="3" t="s">
        <v>479</v>
      </c>
      <c r="C261" s="3" t="str">
        <f t="shared" si="12"/>
        <v>Sep</v>
      </c>
      <c r="D261" s="3">
        <v>19</v>
      </c>
      <c r="E261" s="3" t="str">
        <f t="shared" si="13"/>
        <v>teenager</v>
      </c>
      <c r="F261" s="3" t="s">
        <v>25</v>
      </c>
      <c r="G261" s="3" t="s">
        <v>48</v>
      </c>
      <c r="H261" s="3">
        <v>4304.53</v>
      </c>
      <c r="I261" s="3">
        <v>4</v>
      </c>
      <c r="J261" s="3">
        <f t="shared" si="14"/>
        <v>17218.12</v>
      </c>
      <c r="K261" s="3" t="s">
        <v>36</v>
      </c>
      <c r="L261" s="3">
        <v>10</v>
      </c>
      <c r="M261" s="3">
        <v>1</v>
      </c>
      <c r="N261" s="3" t="s">
        <v>546</v>
      </c>
      <c r="O261" s="3" t="s">
        <v>551</v>
      </c>
      <c r="P261" s="3" t="s">
        <v>11</v>
      </c>
      <c r="Q261" s="3">
        <v>0.05</v>
      </c>
      <c r="R261" s="3">
        <v>400000</v>
      </c>
      <c r="S261" s="3">
        <v>80</v>
      </c>
      <c r="T261" s="3">
        <v>7</v>
      </c>
      <c r="U261" s="3">
        <v>40</v>
      </c>
    </row>
    <row r="262" spans="1:21" x14ac:dyDescent="0.25">
      <c r="A262" s="3" t="s">
        <v>480</v>
      </c>
      <c r="B262" s="3" t="s">
        <v>481</v>
      </c>
      <c r="C262" s="3" t="str">
        <f t="shared" si="12"/>
        <v>Feb</v>
      </c>
      <c r="D262" s="3">
        <v>50</v>
      </c>
      <c r="E262" s="3" t="str">
        <f t="shared" si="13"/>
        <v>adult</v>
      </c>
      <c r="F262" s="3" t="s">
        <v>25</v>
      </c>
      <c r="G262" s="3" t="s">
        <v>26</v>
      </c>
      <c r="H262" s="3">
        <v>3618.54</v>
      </c>
      <c r="I262" s="3">
        <v>4</v>
      </c>
      <c r="J262" s="3">
        <f t="shared" si="14"/>
        <v>14474.16</v>
      </c>
      <c r="K262" s="3" t="s">
        <v>39</v>
      </c>
      <c r="L262" s="3">
        <v>9</v>
      </c>
      <c r="M262" s="3">
        <v>1</v>
      </c>
      <c r="N262" s="3" t="s">
        <v>546</v>
      </c>
      <c r="O262" s="3" t="s">
        <v>545</v>
      </c>
      <c r="P262" s="3" t="s">
        <v>39</v>
      </c>
      <c r="Q262" s="3">
        <v>0.12</v>
      </c>
      <c r="R262" s="3">
        <v>240000</v>
      </c>
      <c r="S262" s="3">
        <v>50</v>
      </c>
      <c r="T262" s="3">
        <v>14</v>
      </c>
      <c r="U262" s="3">
        <v>30</v>
      </c>
    </row>
    <row r="263" spans="1:21" x14ac:dyDescent="0.25">
      <c r="A263" s="3" t="s">
        <v>482</v>
      </c>
      <c r="B263" s="3" t="s">
        <v>483</v>
      </c>
      <c r="C263" s="3" t="str">
        <f t="shared" si="12"/>
        <v>Sep</v>
      </c>
      <c r="D263" s="3">
        <v>37</v>
      </c>
      <c r="E263" s="3" t="str">
        <f t="shared" si="13"/>
        <v>adult</v>
      </c>
      <c r="F263" s="3" t="s">
        <v>25</v>
      </c>
      <c r="G263" s="3" t="s">
        <v>48</v>
      </c>
      <c r="H263" s="3">
        <v>320.44</v>
      </c>
      <c r="I263" s="3">
        <v>2</v>
      </c>
      <c r="J263" s="3">
        <f t="shared" si="14"/>
        <v>640.88</v>
      </c>
      <c r="K263" s="3" t="s">
        <v>39</v>
      </c>
      <c r="L263" s="3">
        <v>3</v>
      </c>
      <c r="M263" s="3">
        <v>4</v>
      </c>
      <c r="N263" s="3" t="s">
        <v>546</v>
      </c>
      <c r="O263" s="3" t="s">
        <v>551</v>
      </c>
      <c r="P263" s="3" t="s">
        <v>39</v>
      </c>
      <c r="Q263" s="3">
        <v>0.05</v>
      </c>
      <c r="R263" s="3">
        <v>400000</v>
      </c>
      <c r="S263" s="3">
        <v>50</v>
      </c>
      <c r="T263" s="3">
        <v>7</v>
      </c>
      <c r="U263" s="3">
        <v>40</v>
      </c>
    </row>
    <row r="264" spans="1:21" x14ac:dyDescent="0.25">
      <c r="A264" s="3" t="s">
        <v>484</v>
      </c>
      <c r="B264" s="3" t="s">
        <v>141</v>
      </c>
      <c r="C264" s="3" t="str">
        <f t="shared" si="12"/>
        <v>Oct</v>
      </c>
      <c r="D264" s="3">
        <v>59</v>
      </c>
      <c r="E264" s="3" t="str">
        <f t="shared" si="13"/>
        <v>senior</v>
      </c>
      <c r="F264" s="3" t="s">
        <v>34</v>
      </c>
      <c r="G264" s="3" t="s">
        <v>26</v>
      </c>
      <c r="H264" s="3">
        <v>4981.6099999999997</v>
      </c>
      <c r="I264" s="3">
        <v>5</v>
      </c>
      <c r="J264" s="3">
        <f t="shared" si="14"/>
        <v>24908.05</v>
      </c>
      <c r="K264" s="3" t="s">
        <v>22</v>
      </c>
      <c r="L264" s="3">
        <v>8</v>
      </c>
      <c r="M264" s="3">
        <v>2</v>
      </c>
      <c r="N264" s="3" t="s">
        <v>546</v>
      </c>
      <c r="O264" s="3" t="s">
        <v>545</v>
      </c>
      <c r="P264" s="3" t="s">
        <v>544</v>
      </c>
      <c r="Q264" s="3">
        <v>0.12</v>
      </c>
      <c r="R264" s="3">
        <v>240000</v>
      </c>
      <c r="S264" s="3">
        <v>31</v>
      </c>
      <c r="T264" s="3">
        <v>14</v>
      </c>
      <c r="U264" s="3">
        <v>30</v>
      </c>
    </row>
    <row r="265" spans="1:21" x14ac:dyDescent="0.25">
      <c r="A265" s="3" t="s">
        <v>485</v>
      </c>
      <c r="B265" s="3" t="s">
        <v>486</v>
      </c>
      <c r="C265" s="3" t="str">
        <f t="shared" si="12"/>
        <v>Feb</v>
      </c>
      <c r="D265" s="3">
        <v>54</v>
      </c>
      <c r="E265" s="3" t="str">
        <f t="shared" si="13"/>
        <v>senior</v>
      </c>
      <c r="F265" s="3" t="s">
        <v>25</v>
      </c>
      <c r="G265" s="3" t="s">
        <v>35</v>
      </c>
      <c r="H265" s="3">
        <v>3810.29</v>
      </c>
      <c r="I265" s="3">
        <v>2</v>
      </c>
      <c r="J265" s="3">
        <f t="shared" si="14"/>
        <v>7620.58</v>
      </c>
      <c r="K265" s="3" t="s">
        <v>39</v>
      </c>
      <c r="L265" s="3">
        <v>2</v>
      </c>
      <c r="M265" s="3">
        <v>5</v>
      </c>
      <c r="N265" s="3" t="s">
        <v>546</v>
      </c>
      <c r="O265" s="3" t="s">
        <v>549</v>
      </c>
      <c r="P265" s="3" t="s">
        <v>39</v>
      </c>
      <c r="Q265" s="3">
        <v>0.18</v>
      </c>
      <c r="R265" s="3">
        <v>450000</v>
      </c>
      <c r="S265" s="3">
        <v>50</v>
      </c>
      <c r="T265" s="3">
        <v>15</v>
      </c>
      <c r="U265" s="3">
        <v>50</v>
      </c>
    </row>
    <row r="266" spans="1:21" x14ac:dyDescent="0.25">
      <c r="A266" s="3" t="s">
        <v>487</v>
      </c>
      <c r="B266" s="3" t="s">
        <v>488</v>
      </c>
      <c r="C266" s="3" t="str">
        <f t="shared" si="12"/>
        <v>Sep</v>
      </c>
      <c r="D266" s="3">
        <v>32</v>
      </c>
      <c r="E266" s="3" t="str">
        <f t="shared" si="13"/>
        <v>adult</v>
      </c>
      <c r="F266" s="3" t="s">
        <v>34</v>
      </c>
      <c r="G266" s="3" t="s">
        <v>35</v>
      </c>
      <c r="H266" s="3">
        <v>1098.8900000000001</v>
      </c>
      <c r="I266" s="3">
        <v>4</v>
      </c>
      <c r="J266" s="3">
        <f t="shared" si="14"/>
        <v>4395.5600000000004</v>
      </c>
      <c r="K266" s="3" t="s">
        <v>39</v>
      </c>
      <c r="L266" s="3">
        <v>10</v>
      </c>
      <c r="M266" s="3">
        <v>5</v>
      </c>
      <c r="N266" s="3" t="s">
        <v>542</v>
      </c>
      <c r="O266" s="3" t="s">
        <v>549</v>
      </c>
      <c r="P266" s="3" t="s">
        <v>39</v>
      </c>
      <c r="Q266" s="3">
        <v>0.18</v>
      </c>
      <c r="R266" s="3">
        <v>450000</v>
      </c>
      <c r="S266" s="3">
        <v>50</v>
      </c>
      <c r="T266" s="3">
        <v>15</v>
      </c>
      <c r="U266" s="3">
        <v>50</v>
      </c>
    </row>
    <row r="267" spans="1:21" x14ac:dyDescent="0.25">
      <c r="A267" s="3" t="s">
        <v>489</v>
      </c>
      <c r="B267" s="3" t="s">
        <v>490</v>
      </c>
      <c r="C267" s="3" t="str">
        <f t="shared" si="12"/>
        <v>Apr</v>
      </c>
      <c r="D267" s="3">
        <v>19</v>
      </c>
      <c r="E267" s="3" t="str">
        <f t="shared" si="13"/>
        <v>teenager</v>
      </c>
      <c r="F267" s="3" t="s">
        <v>45</v>
      </c>
      <c r="G267" s="3" t="s">
        <v>51</v>
      </c>
      <c r="H267" s="3">
        <v>4712.2299999999996</v>
      </c>
      <c r="I267" s="3">
        <v>3</v>
      </c>
      <c r="J267" s="3">
        <f t="shared" si="14"/>
        <v>14136.689999999999</v>
      </c>
      <c r="K267" s="3" t="s">
        <v>36</v>
      </c>
      <c r="L267" s="3">
        <v>9</v>
      </c>
      <c r="M267" s="3">
        <v>2</v>
      </c>
      <c r="N267" s="3" t="s">
        <v>546</v>
      </c>
      <c r="O267" s="3" t="s">
        <v>552</v>
      </c>
      <c r="P267" s="3" t="s">
        <v>11</v>
      </c>
      <c r="Q267" s="3">
        <v>0.14000000000000001</v>
      </c>
      <c r="R267" s="3">
        <v>300000</v>
      </c>
      <c r="S267" s="3">
        <v>80</v>
      </c>
      <c r="T267" s="3">
        <v>12</v>
      </c>
      <c r="U267" s="3">
        <v>70</v>
      </c>
    </row>
    <row r="268" spans="1:21" x14ac:dyDescent="0.25">
      <c r="A268" s="3" t="s">
        <v>491</v>
      </c>
      <c r="B268" s="3" t="s">
        <v>416</v>
      </c>
      <c r="C268" s="3" t="str">
        <f t="shared" si="12"/>
        <v>Oct</v>
      </c>
      <c r="D268" s="3">
        <v>57</v>
      </c>
      <c r="E268" s="3" t="str">
        <f t="shared" si="13"/>
        <v>senior</v>
      </c>
      <c r="F268" s="3" t="s">
        <v>54</v>
      </c>
      <c r="G268" s="3" t="s">
        <v>30</v>
      </c>
      <c r="H268" s="3">
        <v>3035.49</v>
      </c>
      <c r="I268" s="3">
        <v>1</v>
      </c>
      <c r="J268" s="3">
        <f t="shared" si="14"/>
        <v>3035.49</v>
      </c>
      <c r="K268" s="3" t="s">
        <v>42</v>
      </c>
      <c r="L268" s="3">
        <v>6</v>
      </c>
      <c r="M268" s="3">
        <v>2</v>
      </c>
      <c r="N268" s="3" t="s">
        <v>546</v>
      </c>
      <c r="O268" s="3" t="s">
        <v>547</v>
      </c>
      <c r="P268" s="3" t="s">
        <v>550</v>
      </c>
      <c r="Q268" s="3">
        <v>0.12</v>
      </c>
      <c r="R268" s="3">
        <v>350000</v>
      </c>
      <c r="S268" s="3">
        <v>90</v>
      </c>
      <c r="T268" s="3">
        <v>12</v>
      </c>
      <c r="U268" s="3">
        <v>100</v>
      </c>
    </row>
    <row r="269" spans="1:21" x14ac:dyDescent="0.25">
      <c r="A269" s="3" t="s">
        <v>492</v>
      </c>
      <c r="B269" s="3" t="s">
        <v>196</v>
      </c>
      <c r="C269" s="3" t="str">
        <f t="shared" si="12"/>
        <v>Jul</v>
      </c>
      <c r="D269" s="3">
        <v>48</v>
      </c>
      <c r="E269" s="3" t="str">
        <f t="shared" si="13"/>
        <v>adult</v>
      </c>
      <c r="F269" s="3" t="s">
        <v>25</v>
      </c>
      <c r="G269" s="3" t="s">
        <v>51</v>
      </c>
      <c r="H269" s="3">
        <v>324.32</v>
      </c>
      <c r="I269" s="3">
        <v>3</v>
      </c>
      <c r="J269" s="3">
        <f t="shared" si="14"/>
        <v>972.96</v>
      </c>
      <c r="K269" s="3" t="s">
        <v>31</v>
      </c>
      <c r="L269" s="3">
        <v>3</v>
      </c>
      <c r="M269" s="3">
        <v>2</v>
      </c>
      <c r="N269" s="3" t="s">
        <v>546</v>
      </c>
      <c r="O269" s="3" t="s">
        <v>552</v>
      </c>
      <c r="P269" s="3" t="s">
        <v>548</v>
      </c>
      <c r="Q269" s="3">
        <v>0.14000000000000001</v>
      </c>
      <c r="R269" s="3">
        <v>300000</v>
      </c>
      <c r="S269" s="3">
        <v>50</v>
      </c>
      <c r="T269" s="3">
        <v>12</v>
      </c>
      <c r="U269" s="3">
        <v>70</v>
      </c>
    </row>
    <row r="270" spans="1:21" x14ac:dyDescent="0.25">
      <c r="A270" s="3" t="s">
        <v>493</v>
      </c>
      <c r="B270" s="3" t="s">
        <v>111</v>
      </c>
      <c r="C270" s="3" t="str">
        <f t="shared" si="12"/>
        <v>Jun</v>
      </c>
      <c r="D270" s="3">
        <v>26</v>
      </c>
      <c r="E270" s="3" t="str">
        <f t="shared" si="13"/>
        <v>adult</v>
      </c>
      <c r="F270" s="3" t="s">
        <v>25</v>
      </c>
      <c r="G270" s="3" t="s">
        <v>26</v>
      </c>
      <c r="H270" s="3">
        <v>2392.4699999999998</v>
      </c>
      <c r="I270" s="3">
        <v>1</v>
      </c>
      <c r="J270" s="3">
        <f t="shared" si="14"/>
        <v>2392.4699999999998</v>
      </c>
      <c r="K270" s="3" t="s">
        <v>42</v>
      </c>
      <c r="L270" s="3">
        <v>8</v>
      </c>
      <c r="M270" s="3">
        <v>4</v>
      </c>
      <c r="N270" s="3" t="s">
        <v>546</v>
      </c>
      <c r="O270" s="3" t="s">
        <v>545</v>
      </c>
      <c r="P270" s="3" t="s">
        <v>550</v>
      </c>
      <c r="Q270" s="3">
        <v>0.12</v>
      </c>
      <c r="R270" s="3">
        <v>240000</v>
      </c>
      <c r="S270" s="3">
        <v>90</v>
      </c>
      <c r="T270" s="3">
        <v>14</v>
      </c>
      <c r="U270" s="3">
        <v>30</v>
      </c>
    </row>
    <row r="271" spans="1:21" x14ac:dyDescent="0.25">
      <c r="A271" s="3" t="s">
        <v>494</v>
      </c>
      <c r="B271" s="3" t="s">
        <v>495</v>
      </c>
      <c r="C271" s="3" t="str">
        <f t="shared" si="12"/>
        <v>Mar</v>
      </c>
      <c r="D271" s="3">
        <v>24</v>
      </c>
      <c r="E271" s="3" t="str">
        <f t="shared" si="13"/>
        <v>adult</v>
      </c>
      <c r="F271" s="3" t="s">
        <v>34</v>
      </c>
      <c r="G271" s="3" t="s">
        <v>21</v>
      </c>
      <c r="H271" s="3">
        <v>1821.85</v>
      </c>
      <c r="I271" s="3">
        <v>2</v>
      </c>
      <c r="J271" s="3">
        <f t="shared" si="14"/>
        <v>3643.7</v>
      </c>
      <c r="K271" s="3" t="s">
        <v>36</v>
      </c>
      <c r="L271" s="3">
        <v>4</v>
      </c>
      <c r="M271" s="3">
        <v>4</v>
      </c>
      <c r="N271" s="3" t="s">
        <v>546</v>
      </c>
      <c r="O271" s="3" t="s">
        <v>543</v>
      </c>
      <c r="P271" s="3" t="s">
        <v>11</v>
      </c>
      <c r="Q271" s="3">
        <v>0.1</v>
      </c>
      <c r="R271" s="3">
        <v>560000</v>
      </c>
      <c r="S271" s="3">
        <v>80</v>
      </c>
      <c r="T271" s="3">
        <v>13</v>
      </c>
      <c r="U271" s="3">
        <v>60</v>
      </c>
    </row>
    <row r="272" spans="1:21" x14ac:dyDescent="0.25">
      <c r="A272" s="3" t="s">
        <v>496</v>
      </c>
      <c r="B272" s="3" t="s">
        <v>497</v>
      </c>
      <c r="C272" s="3" t="str">
        <f t="shared" si="12"/>
        <v>Dec</v>
      </c>
      <c r="D272" s="3">
        <v>29</v>
      </c>
      <c r="E272" s="3" t="str">
        <f t="shared" si="13"/>
        <v>adult</v>
      </c>
      <c r="F272" s="3" t="s">
        <v>54</v>
      </c>
      <c r="G272" s="3" t="s">
        <v>51</v>
      </c>
      <c r="H272" s="3">
        <v>459.52</v>
      </c>
      <c r="I272" s="3">
        <v>3</v>
      </c>
      <c r="J272" s="3">
        <f t="shared" si="14"/>
        <v>1378.56</v>
      </c>
      <c r="K272" s="3" t="s">
        <v>36</v>
      </c>
      <c r="L272" s="3">
        <v>1</v>
      </c>
      <c r="M272" s="3">
        <v>5</v>
      </c>
      <c r="N272" s="3" t="s">
        <v>542</v>
      </c>
      <c r="O272" s="3" t="s">
        <v>552</v>
      </c>
      <c r="P272" s="3" t="s">
        <v>11</v>
      </c>
      <c r="Q272" s="3">
        <v>0.14000000000000001</v>
      </c>
      <c r="R272" s="3">
        <v>300000</v>
      </c>
      <c r="S272" s="3">
        <v>80</v>
      </c>
      <c r="T272" s="3">
        <v>12</v>
      </c>
      <c r="U272" s="3">
        <v>70</v>
      </c>
    </row>
    <row r="273" spans="1:21" x14ac:dyDescent="0.25">
      <c r="A273" s="3" t="s">
        <v>498</v>
      </c>
      <c r="B273" s="3" t="s">
        <v>499</v>
      </c>
      <c r="C273" s="3" t="str">
        <f t="shared" si="12"/>
        <v>Dec</v>
      </c>
      <c r="D273" s="3">
        <v>43</v>
      </c>
      <c r="E273" s="3" t="str">
        <f t="shared" si="13"/>
        <v>adult</v>
      </c>
      <c r="F273" s="3" t="s">
        <v>25</v>
      </c>
      <c r="G273" s="3" t="s">
        <v>26</v>
      </c>
      <c r="H273" s="3">
        <v>368.87</v>
      </c>
      <c r="I273" s="3">
        <v>4</v>
      </c>
      <c r="J273" s="3">
        <f t="shared" si="14"/>
        <v>1475.48</v>
      </c>
      <c r="K273" s="3" t="s">
        <v>22</v>
      </c>
      <c r="L273" s="3">
        <v>7</v>
      </c>
      <c r="M273" s="3">
        <v>1</v>
      </c>
      <c r="N273" s="3" t="s">
        <v>546</v>
      </c>
      <c r="O273" s="3" t="s">
        <v>545</v>
      </c>
      <c r="P273" s="3" t="s">
        <v>544</v>
      </c>
      <c r="Q273" s="3">
        <v>0.12</v>
      </c>
      <c r="R273" s="3">
        <v>240000</v>
      </c>
      <c r="S273" s="3">
        <v>31</v>
      </c>
      <c r="T273" s="3">
        <v>14</v>
      </c>
      <c r="U273" s="3">
        <v>30</v>
      </c>
    </row>
    <row r="274" spans="1:21" x14ac:dyDescent="0.25">
      <c r="A274" s="3" t="s">
        <v>500</v>
      </c>
      <c r="B274" s="3" t="s">
        <v>501</v>
      </c>
      <c r="C274" s="3" t="str">
        <f t="shared" si="12"/>
        <v>Jun</v>
      </c>
      <c r="D274" s="3">
        <v>18</v>
      </c>
      <c r="E274" s="3" t="str">
        <f t="shared" si="13"/>
        <v>teenager</v>
      </c>
      <c r="F274" s="3" t="s">
        <v>25</v>
      </c>
      <c r="G274" s="3" t="s">
        <v>30</v>
      </c>
      <c r="H274" s="3">
        <v>4375.1000000000004</v>
      </c>
      <c r="I274" s="3">
        <v>3</v>
      </c>
      <c r="J274" s="3">
        <f t="shared" si="14"/>
        <v>13125.300000000001</v>
      </c>
      <c r="K274" s="3" t="s">
        <v>31</v>
      </c>
      <c r="L274" s="3">
        <v>7</v>
      </c>
      <c r="M274" s="3">
        <v>3</v>
      </c>
      <c r="N274" s="3" t="s">
        <v>546</v>
      </c>
      <c r="O274" s="3" t="s">
        <v>547</v>
      </c>
      <c r="P274" s="3" t="s">
        <v>548</v>
      </c>
      <c r="Q274" s="3">
        <v>0.12</v>
      </c>
      <c r="R274" s="3">
        <v>350000</v>
      </c>
      <c r="S274" s="3">
        <v>50</v>
      </c>
      <c r="T274" s="3">
        <v>12</v>
      </c>
      <c r="U274" s="3">
        <v>100</v>
      </c>
    </row>
    <row r="275" spans="1:21" x14ac:dyDescent="0.25">
      <c r="A275" s="3" t="s">
        <v>502</v>
      </c>
      <c r="B275" s="3" t="s">
        <v>503</v>
      </c>
      <c r="C275" s="3" t="str">
        <f t="shared" si="12"/>
        <v>Oct</v>
      </c>
      <c r="D275" s="3">
        <v>50</v>
      </c>
      <c r="E275" s="3" t="str">
        <f t="shared" si="13"/>
        <v>adult</v>
      </c>
      <c r="F275" s="3" t="s">
        <v>29</v>
      </c>
      <c r="G275" s="3" t="s">
        <v>30</v>
      </c>
      <c r="H275" s="3">
        <v>2750</v>
      </c>
      <c r="I275" s="3">
        <v>3</v>
      </c>
      <c r="J275" s="3">
        <f t="shared" si="14"/>
        <v>8250</v>
      </c>
      <c r="K275" s="3" t="s">
        <v>36</v>
      </c>
      <c r="L275" s="3">
        <v>1</v>
      </c>
      <c r="M275" s="3">
        <v>1</v>
      </c>
      <c r="N275" s="3" t="s">
        <v>546</v>
      </c>
      <c r="O275" s="3" t="s">
        <v>547</v>
      </c>
      <c r="P275" s="3" t="s">
        <v>11</v>
      </c>
      <c r="Q275" s="3">
        <v>0.12</v>
      </c>
      <c r="R275" s="3">
        <v>350000</v>
      </c>
      <c r="S275" s="3">
        <v>80</v>
      </c>
      <c r="T275" s="3">
        <v>12</v>
      </c>
      <c r="U275" s="3">
        <v>100</v>
      </c>
    </row>
    <row r="276" spans="1:21" x14ac:dyDescent="0.25">
      <c r="A276" s="3" t="s">
        <v>504</v>
      </c>
      <c r="B276" s="3" t="s">
        <v>505</v>
      </c>
      <c r="C276" s="3" t="str">
        <f t="shared" si="12"/>
        <v>Sep</v>
      </c>
      <c r="D276" s="3">
        <v>48</v>
      </c>
      <c r="E276" s="3" t="str">
        <f t="shared" si="13"/>
        <v>adult</v>
      </c>
      <c r="F276" s="3" t="s">
        <v>29</v>
      </c>
      <c r="G276" s="3" t="s">
        <v>26</v>
      </c>
      <c r="H276" s="3">
        <v>1773.66</v>
      </c>
      <c r="I276" s="3">
        <v>5</v>
      </c>
      <c r="J276" s="3">
        <f t="shared" si="14"/>
        <v>8868.3000000000011</v>
      </c>
      <c r="K276" s="3" t="s">
        <v>36</v>
      </c>
      <c r="L276" s="3">
        <v>7</v>
      </c>
      <c r="M276" s="3">
        <v>2</v>
      </c>
      <c r="N276" s="3" t="s">
        <v>546</v>
      </c>
      <c r="O276" s="3" t="s">
        <v>545</v>
      </c>
      <c r="P276" s="3" t="s">
        <v>11</v>
      </c>
      <c r="Q276" s="3">
        <v>0.12</v>
      </c>
      <c r="R276" s="3">
        <v>240000</v>
      </c>
      <c r="S276" s="3">
        <v>80</v>
      </c>
      <c r="T276" s="3">
        <v>14</v>
      </c>
      <c r="U276" s="3">
        <v>30</v>
      </c>
    </row>
    <row r="277" spans="1:21" x14ac:dyDescent="0.25">
      <c r="A277" s="3" t="s">
        <v>506</v>
      </c>
      <c r="B277" s="3" t="s">
        <v>261</v>
      </c>
      <c r="C277" s="3" t="str">
        <f t="shared" si="12"/>
        <v>Jun</v>
      </c>
      <c r="D277" s="3">
        <v>45</v>
      </c>
      <c r="E277" s="3" t="str">
        <f t="shared" si="13"/>
        <v>adult</v>
      </c>
      <c r="F277" s="3" t="s">
        <v>45</v>
      </c>
      <c r="G277" s="3" t="s">
        <v>21</v>
      </c>
      <c r="H277" s="3">
        <v>2434.5300000000002</v>
      </c>
      <c r="I277" s="3">
        <v>3</v>
      </c>
      <c r="J277" s="3">
        <f t="shared" si="14"/>
        <v>7303.59</v>
      </c>
      <c r="K277" s="3" t="s">
        <v>39</v>
      </c>
      <c r="L277" s="3">
        <v>8</v>
      </c>
      <c r="M277" s="3">
        <v>4</v>
      </c>
      <c r="N277" s="3" t="s">
        <v>542</v>
      </c>
      <c r="O277" s="3" t="s">
        <v>543</v>
      </c>
      <c r="P277" s="3" t="s">
        <v>39</v>
      </c>
      <c r="Q277" s="3">
        <v>0.1</v>
      </c>
      <c r="R277" s="3">
        <v>560000</v>
      </c>
      <c r="S277" s="3">
        <v>50</v>
      </c>
      <c r="T277" s="3">
        <v>13</v>
      </c>
      <c r="U277" s="3">
        <v>60</v>
      </c>
    </row>
    <row r="278" spans="1:21" x14ac:dyDescent="0.25">
      <c r="A278" s="3" t="s">
        <v>507</v>
      </c>
      <c r="B278" s="3" t="s">
        <v>508</v>
      </c>
      <c r="C278" s="3" t="str">
        <f t="shared" si="12"/>
        <v>Nov</v>
      </c>
      <c r="D278" s="3">
        <v>20</v>
      </c>
      <c r="E278" s="3" t="str">
        <f t="shared" si="13"/>
        <v>teenager</v>
      </c>
      <c r="F278" s="3" t="s">
        <v>34</v>
      </c>
      <c r="G278" s="3" t="s">
        <v>21</v>
      </c>
      <c r="H278" s="3">
        <v>940.15</v>
      </c>
      <c r="I278" s="3">
        <v>3</v>
      </c>
      <c r="J278" s="3">
        <f t="shared" si="14"/>
        <v>2820.45</v>
      </c>
      <c r="K278" s="3" t="s">
        <v>42</v>
      </c>
      <c r="L278" s="3">
        <v>8</v>
      </c>
      <c r="M278" s="3">
        <v>3</v>
      </c>
      <c r="N278" s="3" t="s">
        <v>546</v>
      </c>
      <c r="O278" s="3" t="s">
        <v>543</v>
      </c>
      <c r="P278" s="3" t="s">
        <v>550</v>
      </c>
      <c r="Q278" s="3">
        <v>0.1</v>
      </c>
      <c r="R278" s="3">
        <v>560000</v>
      </c>
      <c r="S278" s="3">
        <v>90</v>
      </c>
      <c r="T278" s="3">
        <v>13</v>
      </c>
      <c r="U278" s="3">
        <v>60</v>
      </c>
    </row>
    <row r="279" spans="1:21" x14ac:dyDescent="0.25">
      <c r="A279" s="3" t="s">
        <v>509</v>
      </c>
      <c r="B279" s="3" t="s">
        <v>84</v>
      </c>
      <c r="C279" s="3" t="str">
        <f t="shared" si="12"/>
        <v>Jun</v>
      </c>
      <c r="D279" s="3">
        <v>42</v>
      </c>
      <c r="E279" s="3" t="str">
        <f t="shared" si="13"/>
        <v>adult</v>
      </c>
      <c r="F279" s="3" t="s">
        <v>54</v>
      </c>
      <c r="G279" s="3" t="s">
        <v>21</v>
      </c>
      <c r="H279" s="3">
        <v>1342.47</v>
      </c>
      <c r="I279" s="3">
        <v>1</v>
      </c>
      <c r="J279" s="3">
        <f t="shared" si="14"/>
        <v>1342.47</v>
      </c>
      <c r="K279" s="3" t="s">
        <v>39</v>
      </c>
      <c r="L279" s="3">
        <v>9</v>
      </c>
      <c r="M279" s="3">
        <v>5</v>
      </c>
      <c r="N279" s="3" t="s">
        <v>546</v>
      </c>
      <c r="O279" s="3" t="s">
        <v>543</v>
      </c>
      <c r="P279" s="3" t="s">
        <v>39</v>
      </c>
      <c r="Q279" s="3">
        <v>0.1</v>
      </c>
      <c r="R279" s="3">
        <v>560000</v>
      </c>
      <c r="S279" s="3">
        <v>50</v>
      </c>
      <c r="T279" s="3">
        <v>13</v>
      </c>
      <c r="U279" s="3">
        <v>60</v>
      </c>
    </row>
    <row r="280" spans="1:21" x14ac:dyDescent="0.25">
      <c r="A280" s="3" t="s">
        <v>510</v>
      </c>
      <c r="B280" s="3" t="s">
        <v>511</v>
      </c>
      <c r="C280" s="3" t="str">
        <f t="shared" si="12"/>
        <v>Dec</v>
      </c>
      <c r="D280" s="3">
        <v>60</v>
      </c>
      <c r="E280" s="3" t="str">
        <f t="shared" si="13"/>
        <v>senior</v>
      </c>
      <c r="F280" s="3" t="s">
        <v>45</v>
      </c>
      <c r="G280" s="3" t="s">
        <v>26</v>
      </c>
      <c r="H280" s="3">
        <v>4399.2299999999996</v>
      </c>
      <c r="I280" s="3">
        <v>1</v>
      </c>
      <c r="J280" s="3">
        <f t="shared" si="14"/>
        <v>4399.2299999999996</v>
      </c>
      <c r="K280" s="3" t="s">
        <v>42</v>
      </c>
      <c r="L280" s="3">
        <v>8</v>
      </c>
      <c r="M280" s="3">
        <v>1</v>
      </c>
      <c r="N280" s="3" t="s">
        <v>546</v>
      </c>
      <c r="O280" s="3" t="s">
        <v>545</v>
      </c>
      <c r="P280" s="3" t="s">
        <v>550</v>
      </c>
      <c r="Q280" s="3">
        <v>0.12</v>
      </c>
      <c r="R280" s="3">
        <v>240000</v>
      </c>
      <c r="S280" s="3">
        <v>90</v>
      </c>
      <c r="T280" s="3">
        <v>14</v>
      </c>
      <c r="U280" s="3">
        <v>30</v>
      </c>
    </row>
    <row r="281" spans="1:21" x14ac:dyDescent="0.25">
      <c r="A281" s="3" t="s">
        <v>512</v>
      </c>
      <c r="B281" s="3" t="s">
        <v>513</v>
      </c>
      <c r="C281" s="3" t="str">
        <f t="shared" si="12"/>
        <v>Jun</v>
      </c>
      <c r="D281" s="3">
        <v>56</v>
      </c>
      <c r="E281" s="3" t="str">
        <f t="shared" si="13"/>
        <v>senior</v>
      </c>
      <c r="F281" s="3" t="s">
        <v>25</v>
      </c>
      <c r="G281" s="3" t="s">
        <v>48</v>
      </c>
      <c r="H281" s="3">
        <v>3583.52</v>
      </c>
      <c r="I281" s="3">
        <v>4</v>
      </c>
      <c r="J281" s="3">
        <f t="shared" si="14"/>
        <v>14334.08</v>
      </c>
      <c r="K281" s="3" t="s">
        <v>36</v>
      </c>
      <c r="L281" s="3">
        <v>1</v>
      </c>
      <c r="M281" s="3">
        <v>4</v>
      </c>
      <c r="N281" s="3" t="s">
        <v>542</v>
      </c>
      <c r="O281" s="3" t="s">
        <v>551</v>
      </c>
      <c r="P281" s="3" t="s">
        <v>11</v>
      </c>
      <c r="Q281" s="3">
        <v>0.05</v>
      </c>
      <c r="R281" s="3">
        <v>400000</v>
      </c>
      <c r="S281" s="3">
        <v>80</v>
      </c>
      <c r="T281" s="3">
        <v>7</v>
      </c>
      <c r="U281" s="3">
        <v>40</v>
      </c>
    </row>
    <row r="282" spans="1:21" x14ac:dyDescent="0.25">
      <c r="A282" s="3" t="s">
        <v>514</v>
      </c>
      <c r="B282" s="3" t="s">
        <v>231</v>
      </c>
      <c r="C282" s="3" t="str">
        <f t="shared" si="12"/>
        <v>Jul</v>
      </c>
      <c r="D282" s="3">
        <v>40</v>
      </c>
      <c r="E282" s="3" t="str">
        <f t="shared" si="13"/>
        <v>adult</v>
      </c>
      <c r="F282" s="3" t="s">
        <v>29</v>
      </c>
      <c r="G282" s="3" t="s">
        <v>26</v>
      </c>
      <c r="H282" s="3">
        <v>3643.09</v>
      </c>
      <c r="I282" s="3">
        <v>4</v>
      </c>
      <c r="J282" s="3">
        <f t="shared" si="14"/>
        <v>14572.36</v>
      </c>
      <c r="K282" s="3" t="s">
        <v>22</v>
      </c>
      <c r="L282" s="3">
        <v>7</v>
      </c>
      <c r="M282" s="3">
        <v>1</v>
      </c>
      <c r="N282" s="3" t="s">
        <v>546</v>
      </c>
      <c r="O282" s="3" t="s">
        <v>545</v>
      </c>
      <c r="P282" s="3" t="s">
        <v>544</v>
      </c>
      <c r="Q282" s="3">
        <v>0.12</v>
      </c>
      <c r="R282" s="3">
        <v>240000</v>
      </c>
      <c r="S282" s="3">
        <v>31</v>
      </c>
      <c r="T282" s="3">
        <v>14</v>
      </c>
      <c r="U282" s="3">
        <v>30</v>
      </c>
    </row>
    <row r="283" spans="1:21" x14ac:dyDescent="0.25">
      <c r="A283" s="3" t="s">
        <v>515</v>
      </c>
      <c r="B283" s="3" t="s">
        <v>516</v>
      </c>
      <c r="C283" s="3" t="str">
        <f t="shared" si="12"/>
        <v>May</v>
      </c>
      <c r="D283" s="3">
        <v>28</v>
      </c>
      <c r="E283" s="3" t="str">
        <f t="shared" si="13"/>
        <v>adult</v>
      </c>
      <c r="F283" s="3" t="s">
        <v>20</v>
      </c>
      <c r="G283" s="3" t="s">
        <v>21</v>
      </c>
      <c r="H283" s="3">
        <v>3776.14</v>
      </c>
      <c r="I283" s="3">
        <v>1</v>
      </c>
      <c r="J283" s="3">
        <f t="shared" si="14"/>
        <v>3776.14</v>
      </c>
      <c r="K283" s="3" t="s">
        <v>39</v>
      </c>
      <c r="L283" s="3">
        <v>9</v>
      </c>
      <c r="M283" s="3">
        <v>4</v>
      </c>
      <c r="N283" s="3" t="s">
        <v>546</v>
      </c>
      <c r="O283" s="3" t="s">
        <v>543</v>
      </c>
      <c r="P283" s="3" t="s">
        <v>39</v>
      </c>
      <c r="Q283" s="3">
        <v>0.1</v>
      </c>
      <c r="R283" s="3">
        <v>560000</v>
      </c>
      <c r="S283" s="3">
        <v>50</v>
      </c>
      <c r="T283" s="3">
        <v>13</v>
      </c>
      <c r="U283" s="3">
        <v>60</v>
      </c>
    </row>
    <row r="284" spans="1:21" x14ac:dyDescent="0.25">
      <c r="A284" s="3" t="s">
        <v>517</v>
      </c>
      <c r="B284" s="3" t="s">
        <v>518</v>
      </c>
      <c r="C284" s="3" t="str">
        <f t="shared" si="12"/>
        <v>Mar</v>
      </c>
      <c r="D284" s="3">
        <v>36</v>
      </c>
      <c r="E284" s="3" t="str">
        <f t="shared" si="13"/>
        <v>adult</v>
      </c>
      <c r="F284" s="3" t="s">
        <v>29</v>
      </c>
      <c r="G284" s="3" t="s">
        <v>21</v>
      </c>
      <c r="H284" s="3">
        <v>1509.4</v>
      </c>
      <c r="I284" s="3">
        <v>4</v>
      </c>
      <c r="J284" s="3">
        <f t="shared" si="14"/>
        <v>6037.6</v>
      </c>
      <c r="K284" s="3" t="s">
        <v>31</v>
      </c>
      <c r="L284" s="3">
        <v>2</v>
      </c>
      <c r="M284" s="3">
        <v>5</v>
      </c>
      <c r="N284" s="3" t="s">
        <v>542</v>
      </c>
      <c r="O284" s="3" t="s">
        <v>543</v>
      </c>
      <c r="P284" s="3" t="s">
        <v>548</v>
      </c>
      <c r="Q284" s="3">
        <v>0.1</v>
      </c>
      <c r="R284" s="3">
        <v>560000</v>
      </c>
      <c r="S284" s="3">
        <v>50</v>
      </c>
      <c r="T284" s="3">
        <v>13</v>
      </c>
      <c r="U284" s="3">
        <v>60</v>
      </c>
    </row>
    <row r="285" spans="1:21" x14ac:dyDescent="0.25">
      <c r="A285" s="3" t="s">
        <v>519</v>
      </c>
      <c r="B285" s="3" t="s">
        <v>520</v>
      </c>
      <c r="C285" s="3" t="str">
        <f t="shared" si="12"/>
        <v>Apr</v>
      </c>
      <c r="D285" s="3">
        <v>52</v>
      </c>
      <c r="E285" s="3" t="str">
        <f t="shared" si="13"/>
        <v>senior</v>
      </c>
      <c r="F285" s="3" t="s">
        <v>34</v>
      </c>
      <c r="G285" s="3" t="s">
        <v>21</v>
      </c>
      <c r="H285" s="3">
        <v>2077.15</v>
      </c>
      <c r="I285" s="3">
        <v>3</v>
      </c>
      <c r="J285" s="3">
        <f t="shared" si="14"/>
        <v>6231.4500000000007</v>
      </c>
      <c r="K285" s="3" t="s">
        <v>39</v>
      </c>
      <c r="L285" s="3">
        <v>8</v>
      </c>
      <c r="M285" s="3">
        <v>5</v>
      </c>
      <c r="N285" s="3" t="s">
        <v>542</v>
      </c>
      <c r="O285" s="3" t="s">
        <v>543</v>
      </c>
      <c r="P285" s="3" t="s">
        <v>39</v>
      </c>
      <c r="Q285" s="3">
        <v>0.1</v>
      </c>
      <c r="R285" s="3">
        <v>560000</v>
      </c>
      <c r="S285" s="3">
        <v>50</v>
      </c>
      <c r="T285" s="3">
        <v>13</v>
      </c>
      <c r="U285" s="3">
        <v>60</v>
      </c>
    </row>
    <row r="286" spans="1:21" x14ac:dyDescent="0.25">
      <c r="A286" s="3" t="s">
        <v>521</v>
      </c>
      <c r="B286" s="3" t="s">
        <v>522</v>
      </c>
      <c r="C286" s="3" t="str">
        <f t="shared" si="12"/>
        <v>Feb</v>
      </c>
      <c r="D286" s="3">
        <v>22</v>
      </c>
      <c r="E286" s="3" t="str">
        <f t="shared" si="13"/>
        <v>adult</v>
      </c>
      <c r="F286" s="3" t="s">
        <v>45</v>
      </c>
      <c r="G286" s="3" t="s">
        <v>35</v>
      </c>
      <c r="H286" s="3">
        <v>2115.89</v>
      </c>
      <c r="I286" s="3">
        <v>5</v>
      </c>
      <c r="J286" s="3">
        <f t="shared" si="14"/>
        <v>10579.449999999999</v>
      </c>
      <c r="K286" s="3" t="s">
        <v>22</v>
      </c>
      <c r="L286" s="3">
        <v>9</v>
      </c>
      <c r="M286" s="3">
        <v>1</v>
      </c>
      <c r="N286" s="3" t="s">
        <v>546</v>
      </c>
      <c r="O286" s="3" t="s">
        <v>549</v>
      </c>
      <c r="P286" s="3" t="s">
        <v>544</v>
      </c>
      <c r="Q286" s="3">
        <v>0.18</v>
      </c>
      <c r="R286" s="3">
        <v>450000</v>
      </c>
      <c r="S286" s="3">
        <v>31</v>
      </c>
      <c r="T286" s="3">
        <v>15</v>
      </c>
      <c r="U286" s="3">
        <v>50</v>
      </c>
    </row>
    <row r="287" spans="1:21" x14ac:dyDescent="0.25">
      <c r="A287" s="3" t="s">
        <v>523</v>
      </c>
      <c r="B287" s="3" t="s">
        <v>338</v>
      </c>
      <c r="C287" s="3" t="str">
        <f t="shared" si="12"/>
        <v>Jul</v>
      </c>
      <c r="D287" s="3">
        <v>39</v>
      </c>
      <c r="E287" s="3" t="str">
        <f t="shared" si="13"/>
        <v>adult</v>
      </c>
      <c r="F287" s="3" t="s">
        <v>25</v>
      </c>
      <c r="G287" s="3" t="s">
        <v>26</v>
      </c>
      <c r="H287" s="3">
        <v>4130.76</v>
      </c>
      <c r="I287" s="3">
        <v>5</v>
      </c>
      <c r="J287" s="3">
        <f t="shared" si="14"/>
        <v>20653.800000000003</v>
      </c>
      <c r="K287" s="3" t="s">
        <v>39</v>
      </c>
      <c r="L287" s="3">
        <v>1</v>
      </c>
      <c r="M287" s="3">
        <v>5</v>
      </c>
      <c r="N287" s="3" t="s">
        <v>542</v>
      </c>
      <c r="O287" s="3" t="s">
        <v>545</v>
      </c>
      <c r="P287" s="3" t="s">
        <v>39</v>
      </c>
      <c r="Q287" s="3">
        <v>0.12</v>
      </c>
      <c r="R287" s="3">
        <v>240000</v>
      </c>
      <c r="S287" s="3">
        <v>50</v>
      </c>
      <c r="T287" s="3">
        <v>14</v>
      </c>
      <c r="U287" s="3">
        <v>30</v>
      </c>
    </row>
    <row r="288" spans="1:21" x14ac:dyDescent="0.25">
      <c r="A288" s="3" t="s">
        <v>524</v>
      </c>
      <c r="B288" s="3" t="s">
        <v>19</v>
      </c>
      <c r="C288" s="3" t="str">
        <f t="shared" si="12"/>
        <v>Apr</v>
      </c>
      <c r="D288" s="3">
        <v>22</v>
      </c>
      <c r="E288" s="3" t="str">
        <f t="shared" si="13"/>
        <v>adult</v>
      </c>
      <c r="F288" s="3" t="s">
        <v>45</v>
      </c>
      <c r="G288" s="3" t="s">
        <v>51</v>
      </c>
      <c r="H288" s="3">
        <v>1176.54</v>
      </c>
      <c r="I288" s="3">
        <v>3</v>
      </c>
      <c r="J288" s="3">
        <f t="shared" si="14"/>
        <v>3529.62</v>
      </c>
      <c r="K288" s="3" t="s">
        <v>42</v>
      </c>
      <c r="L288" s="3">
        <v>10</v>
      </c>
      <c r="M288" s="3">
        <v>1</v>
      </c>
      <c r="N288" s="3" t="s">
        <v>546</v>
      </c>
      <c r="O288" s="3" t="s">
        <v>552</v>
      </c>
      <c r="P288" s="3" t="s">
        <v>550</v>
      </c>
      <c r="Q288" s="3">
        <v>0.14000000000000001</v>
      </c>
      <c r="R288" s="3">
        <v>300000</v>
      </c>
      <c r="S288" s="3">
        <v>90</v>
      </c>
      <c r="T288" s="3">
        <v>12</v>
      </c>
      <c r="U288" s="3">
        <v>70</v>
      </c>
    </row>
    <row r="289" spans="1:21" x14ac:dyDescent="0.25">
      <c r="A289" s="3" t="s">
        <v>525</v>
      </c>
      <c r="B289" s="3" t="s">
        <v>218</v>
      </c>
      <c r="C289" s="3" t="str">
        <f t="shared" si="12"/>
        <v>Jan</v>
      </c>
      <c r="D289" s="3">
        <v>19</v>
      </c>
      <c r="E289" s="3" t="str">
        <f t="shared" si="13"/>
        <v>teenager</v>
      </c>
      <c r="F289" s="3" t="s">
        <v>29</v>
      </c>
      <c r="G289" s="3" t="s">
        <v>35</v>
      </c>
      <c r="H289" s="3">
        <v>4906.8100000000004</v>
      </c>
      <c r="I289" s="3">
        <v>5</v>
      </c>
      <c r="J289" s="3">
        <f t="shared" si="14"/>
        <v>24534.050000000003</v>
      </c>
      <c r="K289" s="3" t="s">
        <v>31</v>
      </c>
      <c r="L289" s="3">
        <v>8</v>
      </c>
      <c r="M289" s="3">
        <v>3</v>
      </c>
      <c r="N289" s="3" t="s">
        <v>546</v>
      </c>
      <c r="O289" s="3" t="s">
        <v>549</v>
      </c>
      <c r="P289" s="3" t="s">
        <v>548</v>
      </c>
      <c r="Q289" s="3">
        <v>0.18</v>
      </c>
      <c r="R289" s="3">
        <v>450000</v>
      </c>
      <c r="S289" s="3">
        <v>50</v>
      </c>
      <c r="T289" s="3">
        <v>15</v>
      </c>
      <c r="U289" s="3">
        <v>50</v>
      </c>
    </row>
    <row r="290" spans="1:21" x14ac:dyDescent="0.25">
      <c r="A290" s="3" t="s">
        <v>526</v>
      </c>
      <c r="B290" s="3" t="s">
        <v>527</v>
      </c>
      <c r="C290" s="3" t="str">
        <f t="shared" si="12"/>
        <v>Sep</v>
      </c>
      <c r="D290" s="3">
        <v>28</v>
      </c>
      <c r="E290" s="3" t="str">
        <f t="shared" si="13"/>
        <v>adult</v>
      </c>
      <c r="F290" s="3" t="s">
        <v>34</v>
      </c>
      <c r="G290" s="3" t="s">
        <v>51</v>
      </c>
      <c r="H290" s="3">
        <v>3501.63</v>
      </c>
      <c r="I290" s="3">
        <v>3</v>
      </c>
      <c r="J290" s="3">
        <f t="shared" si="14"/>
        <v>10504.89</v>
      </c>
      <c r="K290" s="3" t="s">
        <v>36</v>
      </c>
      <c r="L290" s="3">
        <v>8</v>
      </c>
      <c r="M290" s="3">
        <v>3</v>
      </c>
      <c r="N290" s="3" t="s">
        <v>546</v>
      </c>
      <c r="O290" s="3" t="s">
        <v>552</v>
      </c>
      <c r="P290" s="3" t="s">
        <v>11</v>
      </c>
      <c r="Q290" s="3">
        <v>0.14000000000000001</v>
      </c>
      <c r="R290" s="3">
        <v>300000</v>
      </c>
      <c r="S290" s="3">
        <v>80</v>
      </c>
      <c r="T290" s="3">
        <v>12</v>
      </c>
      <c r="U290" s="3">
        <v>70</v>
      </c>
    </row>
    <row r="291" spans="1:21" x14ac:dyDescent="0.25">
      <c r="A291" s="3" t="s">
        <v>528</v>
      </c>
      <c r="B291" s="3" t="s">
        <v>106</v>
      </c>
      <c r="C291" s="3" t="str">
        <f t="shared" si="12"/>
        <v>Oct</v>
      </c>
      <c r="D291" s="3">
        <v>42</v>
      </c>
      <c r="E291" s="3" t="str">
        <f t="shared" si="13"/>
        <v>adult</v>
      </c>
      <c r="F291" s="3" t="s">
        <v>20</v>
      </c>
      <c r="G291" s="3" t="s">
        <v>26</v>
      </c>
      <c r="H291" s="3">
        <v>4458.7</v>
      </c>
      <c r="I291" s="3">
        <v>5</v>
      </c>
      <c r="J291" s="3">
        <f t="shared" si="14"/>
        <v>22293.5</v>
      </c>
      <c r="K291" s="3" t="s">
        <v>22</v>
      </c>
      <c r="L291" s="3">
        <v>3</v>
      </c>
      <c r="M291" s="3">
        <v>5</v>
      </c>
      <c r="N291" s="3" t="s">
        <v>542</v>
      </c>
      <c r="O291" s="3" t="s">
        <v>545</v>
      </c>
      <c r="P291" s="3" t="s">
        <v>544</v>
      </c>
      <c r="Q291" s="3">
        <v>0.12</v>
      </c>
      <c r="R291" s="3">
        <v>240000</v>
      </c>
      <c r="S291" s="3">
        <v>31</v>
      </c>
      <c r="T291" s="3">
        <v>14</v>
      </c>
      <c r="U291" s="3">
        <v>30</v>
      </c>
    </row>
    <row r="292" spans="1:21" x14ac:dyDescent="0.25">
      <c r="A292" s="3" t="s">
        <v>529</v>
      </c>
      <c r="B292" s="3" t="s">
        <v>530</v>
      </c>
      <c r="C292" s="3" t="str">
        <f t="shared" si="12"/>
        <v>Jan</v>
      </c>
      <c r="D292" s="3">
        <v>46</v>
      </c>
      <c r="E292" s="3" t="str">
        <f t="shared" si="13"/>
        <v>adult</v>
      </c>
      <c r="F292" s="3" t="s">
        <v>20</v>
      </c>
      <c r="G292" s="3" t="s">
        <v>48</v>
      </c>
      <c r="H292" s="3">
        <v>1349.09</v>
      </c>
      <c r="I292" s="3">
        <v>4</v>
      </c>
      <c r="J292" s="3">
        <f t="shared" si="14"/>
        <v>5396.36</v>
      </c>
      <c r="K292" s="3" t="s">
        <v>31</v>
      </c>
      <c r="L292" s="3">
        <v>6</v>
      </c>
      <c r="M292" s="3">
        <v>3</v>
      </c>
      <c r="N292" s="3" t="s">
        <v>546</v>
      </c>
      <c r="O292" s="3" t="s">
        <v>551</v>
      </c>
      <c r="P292" s="3" t="s">
        <v>548</v>
      </c>
      <c r="Q292" s="3">
        <v>0.05</v>
      </c>
      <c r="R292" s="3">
        <v>400000</v>
      </c>
      <c r="S292" s="3">
        <v>50</v>
      </c>
      <c r="T292" s="3">
        <v>7</v>
      </c>
      <c r="U292" s="3">
        <v>40</v>
      </c>
    </row>
    <row r="293" spans="1:21" x14ac:dyDescent="0.25">
      <c r="A293" s="3" t="s">
        <v>531</v>
      </c>
      <c r="B293" s="3" t="s">
        <v>111</v>
      </c>
      <c r="C293" s="3" t="str">
        <f t="shared" si="12"/>
        <v>Jun</v>
      </c>
      <c r="D293" s="3">
        <v>25</v>
      </c>
      <c r="E293" s="3" t="str">
        <f t="shared" si="13"/>
        <v>adult</v>
      </c>
      <c r="F293" s="3" t="s">
        <v>25</v>
      </c>
      <c r="G293" s="3" t="s">
        <v>30</v>
      </c>
      <c r="H293" s="3">
        <v>3098</v>
      </c>
      <c r="I293" s="3">
        <v>3</v>
      </c>
      <c r="J293" s="3">
        <f t="shared" si="14"/>
        <v>9294</v>
      </c>
      <c r="K293" s="3" t="s">
        <v>36</v>
      </c>
      <c r="L293" s="3">
        <v>1</v>
      </c>
      <c r="M293" s="3">
        <v>4</v>
      </c>
      <c r="N293" s="3" t="s">
        <v>542</v>
      </c>
      <c r="O293" s="3" t="s">
        <v>547</v>
      </c>
      <c r="P293" s="3" t="s">
        <v>11</v>
      </c>
      <c r="Q293" s="3">
        <v>0.12</v>
      </c>
      <c r="R293" s="3">
        <v>350000</v>
      </c>
      <c r="S293" s="3">
        <v>80</v>
      </c>
      <c r="T293" s="3">
        <v>12</v>
      </c>
      <c r="U293" s="3">
        <v>100</v>
      </c>
    </row>
    <row r="294" spans="1:21" x14ac:dyDescent="0.25">
      <c r="A294" s="3" t="s">
        <v>532</v>
      </c>
      <c r="B294" s="3" t="s">
        <v>533</v>
      </c>
      <c r="C294" s="3" t="str">
        <f t="shared" si="12"/>
        <v>Aug</v>
      </c>
      <c r="D294" s="3">
        <v>20</v>
      </c>
      <c r="E294" s="3" t="str">
        <f t="shared" si="13"/>
        <v>teenager</v>
      </c>
      <c r="F294" s="3" t="s">
        <v>29</v>
      </c>
      <c r="G294" s="3" t="s">
        <v>30</v>
      </c>
      <c r="H294" s="3">
        <v>1013.6</v>
      </c>
      <c r="I294" s="3">
        <v>5</v>
      </c>
      <c r="J294" s="3">
        <f t="shared" si="14"/>
        <v>5068</v>
      </c>
      <c r="K294" s="3" t="s">
        <v>39</v>
      </c>
      <c r="L294" s="3">
        <v>10</v>
      </c>
      <c r="M294" s="3">
        <v>4</v>
      </c>
      <c r="N294" s="3" t="s">
        <v>542</v>
      </c>
      <c r="O294" s="3" t="s">
        <v>547</v>
      </c>
      <c r="P294" s="3" t="s">
        <v>39</v>
      </c>
      <c r="Q294" s="3">
        <v>0.12</v>
      </c>
      <c r="R294" s="3">
        <v>350000</v>
      </c>
      <c r="S294" s="3">
        <v>50</v>
      </c>
      <c r="T294" s="3">
        <v>12</v>
      </c>
      <c r="U294" s="3">
        <v>100</v>
      </c>
    </row>
    <row r="295" spans="1:21" x14ac:dyDescent="0.25">
      <c r="A295" s="3" t="s">
        <v>534</v>
      </c>
      <c r="B295" s="3" t="s">
        <v>133</v>
      </c>
      <c r="C295" s="3" t="str">
        <f t="shared" si="12"/>
        <v>Sep</v>
      </c>
      <c r="D295" s="3">
        <v>52</v>
      </c>
      <c r="E295" s="3" t="str">
        <f t="shared" si="13"/>
        <v>senior</v>
      </c>
      <c r="F295" s="3" t="s">
        <v>25</v>
      </c>
      <c r="G295" s="3" t="s">
        <v>30</v>
      </c>
      <c r="H295" s="3">
        <v>1860.67</v>
      </c>
      <c r="I295" s="3">
        <v>1</v>
      </c>
      <c r="J295" s="3">
        <f t="shared" si="14"/>
        <v>1860.67</v>
      </c>
      <c r="K295" s="3" t="s">
        <v>31</v>
      </c>
      <c r="L295" s="3">
        <v>8</v>
      </c>
      <c r="M295" s="3">
        <v>2</v>
      </c>
      <c r="N295" s="3" t="s">
        <v>546</v>
      </c>
      <c r="O295" s="3" t="s">
        <v>547</v>
      </c>
      <c r="P295" s="3" t="s">
        <v>548</v>
      </c>
      <c r="Q295" s="3">
        <v>0.12</v>
      </c>
      <c r="R295" s="3">
        <v>350000</v>
      </c>
      <c r="S295" s="3">
        <v>50</v>
      </c>
      <c r="T295" s="3">
        <v>12</v>
      </c>
      <c r="U295" s="3">
        <v>100</v>
      </c>
    </row>
    <row r="296" spans="1:21" x14ac:dyDescent="0.25">
      <c r="A296" s="3" t="s">
        <v>535</v>
      </c>
      <c r="B296" s="3" t="s">
        <v>399</v>
      </c>
      <c r="C296" s="3" t="str">
        <f t="shared" si="12"/>
        <v>Jul</v>
      </c>
      <c r="D296" s="3">
        <v>51</v>
      </c>
      <c r="E296" s="3" t="str">
        <f t="shared" si="13"/>
        <v>senior</v>
      </c>
      <c r="F296" s="3" t="s">
        <v>25</v>
      </c>
      <c r="G296" s="3" t="s">
        <v>30</v>
      </c>
      <c r="H296" s="3">
        <v>2340.4499999999998</v>
      </c>
      <c r="I296" s="3">
        <v>1</v>
      </c>
      <c r="J296" s="3">
        <f t="shared" si="14"/>
        <v>2340.4499999999998</v>
      </c>
      <c r="K296" s="3" t="s">
        <v>42</v>
      </c>
      <c r="L296" s="3">
        <v>1</v>
      </c>
      <c r="M296" s="3">
        <v>1</v>
      </c>
      <c r="N296" s="3" t="s">
        <v>546</v>
      </c>
      <c r="O296" s="3" t="s">
        <v>547</v>
      </c>
      <c r="P296" s="3" t="s">
        <v>550</v>
      </c>
      <c r="Q296" s="3">
        <v>0.12</v>
      </c>
      <c r="R296" s="3">
        <v>350000</v>
      </c>
      <c r="S296" s="3">
        <v>90</v>
      </c>
      <c r="T296" s="3">
        <v>12</v>
      </c>
      <c r="U296" s="3">
        <v>100</v>
      </c>
    </row>
    <row r="297" spans="1:21" x14ac:dyDescent="0.25">
      <c r="A297" s="3" t="s">
        <v>536</v>
      </c>
      <c r="B297" s="3" t="s">
        <v>454</v>
      </c>
      <c r="C297" s="3" t="str">
        <f t="shared" si="12"/>
        <v>Jan</v>
      </c>
      <c r="D297" s="3">
        <v>19</v>
      </c>
      <c r="E297" s="3" t="str">
        <f t="shared" si="13"/>
        <v>teenager</v>
      </c>
      <c r="F297" s="3" t="s">
        <v>34</v>
      </c>
      <c r="G297" s="3" t="s">
        <v>30</v>
      </c>
      <c r="H297" s="3">
        <v>611</v>
      </c>
      <c r="I297" s="3">
        <v>4</v>
      </c>
      <c r="J297" s="3">
        <f t="shared" si="14"/>
        <v>2444</v>
      </c>
      <c r="K297" s="3" t="s">
        <v>42</v>
      </c>
      <c r="L297" s="3">
        <v>8</v>
      </c>
      <c r="M297" s="3">
        <v>1</v>
      </c>
      <c r="N297" s="3" t="s">
        <v>546</v>
      </c>
      <c r="O297" s="3" t="s">
        <v>547</v>
      </c>
      <c r="P297" s="3" t="s">
        <v>550</v>
      </c>
      <c r="Q297" s="3">
        <v>0.12</v>
      </c>
      <c r="R297" s="3">
        <v>350000</v>
      </c>
      <c r="S297" s="3">
        <v>90</v>
      </c>
      <c r="T297" s="3">
        <v>12</v>
      </c>
      <c r="U297" s="3">
        <v>100</v>
      </c>
    </row>
    <row r="298" spans="1:21" x14ac:dyDescent="0.25">
      <c r="A298" s="3" t="s">
        <v>537</v>
      </c>
      <c r="B298" s="3" t="s">
        <v>162</v>
      </c>
      <c r="C298" s="3" t="str">
        <f t="shared" si="12"/>
        <v>Oct</v>
      </c>
      <c r="D298" s="3">
        <v>59</v>
      </c>
      <c r="E298" s="3" t="str">
        <f t="shared" si="13"/>
        <v>senior</v>
      </c>
      <c r="F298" s="3" t="s">
        <v>45</v>
      </c>
      <c r="G298" s="3" t="s">
        <v>30</v>
      </c>
      <c r="H298" s="3">
        <v>3195.33</v>
      </c>
      <c r="I298" s="3">
        <v>2</v>
      </c>
      <c r="J298" s="3">
        <f t="shared" si="14"/>
        <v>6390.66</v>
      </c>
      <c r="K298" s="3" t="s">
        <v>39</v>
      </c>
      <c r="L298" s="3">
        <v>7</v>
      </c>
      <c r="M298" s="3">
        <v>5</v>
      </c>
      <c r="N298" s="3" t="s">
        <v>546</v>
      </c>
      <c r="O298" s="3" t="s">
        <v>547</v>
      </c>
      <c r="P298" s="3" t="s">
        <v>39</v>
      </c>
      <c r="Q298" s="3">
        <v>0.12</v>
      </c>
      <c r="R298" s="3">
        <v>350000</v>
      </c>
      <c r="S298" s="3">
        <v>50</v>
      </c>
      <c r="T298" s="3">
        <v>12</v>
      </c>
      <c r="U298" s="3">
        <v>100</v>
      </c>
    </row>
    <row r="299" spans="1:21" x14ac:dyDescent="0.25">
      <c r="A299" s="3" t="s">
        <v>538</v>
      </c>
      <c r="B299" s="3" t="s">
        <v>143</v>
      </c>
      <c r="C299" s="3" t="str">
        <f t="shared" si="12"/>
        <v>Sep</v>
      </c>
      <c r="D299" s="3">
        <v>32</v>
      </c>
      <c r="E299" s="3" t="str">
        <f t="shared" si="13"/>
        <v>adult</v>
      </c>
      <c r="F299" s="3" t="s">
        <v>45</v>
      </c>
      <c r="G299" s="3" t="s">
        <v>26</v>
      </c>
      <c r="H299" s="3">
        <v>1326.17</v>
      </c>
      <c r="I299" s="3">
        <v>2</v>
      </c>
      <c r="J299" s="3">
        <f t="shared" si="14"/>
        <v>2652.34</v>
      </c>
      <c r="K299" s="3" t="s">
        <v>42</v>
      </c>
      <c r="L299" s="3">
        <v>6</v>
      </c>
      <c r="M299" s="3">
        <v>1</v>
      </c>
      <c r="N299" s="3" t="s">
        <v>546</v>
      </c>
      <c r="O299" s="3" t="s">
        <v>545</v>
      </c>
      <c r="P299" s="3" t="s">
        <v>550</v>
      </c>
      <c r="Q299" s="3">
        <v>0.12</v>
      </c>
      <c r="R299" s="3">
        <v>240000</v>
      </c>
      <c r="S299" s="3">
        <v>90</v>
      </c>
      <c r="T299" s="3">
        <v>14</v>
      </c>
      <c r="U299" s="3">
        <v>30</v>
      </c>
    </row>
    <row r="300" spans="1:21" x14ac:dyDescent="0.25">
      <c r="A300" s="3" t="s">
        <v>539</v>
      </c>
      <c r="B300" s="3" t="s">
        <v>540</v>
      </c>
      <c r="C300" s="3" t="str">
        <f t="shared" si="12"/>
        <v>Feb</v>
      </c>
      <c r="D300" s="3">
        <v>29</v>
      </c>
      <c r="E300" s="3" t="str">
        <f t="shared" si="13"/>
        <v>adult</v>
      </c>
      <c r="F300" s="3" t="s">
        <v>20</v>
      </c>
      <c r="G300" s="3" t="s">
        <v>48</v>
      </c>
      <c r="H300" s="3">
        <v>669.22</v>
      </c>
      <c r="I300" s="3">
        <v>1</v>
      </c>
      <c r="J300" s="3">
        <f t="shared" si="14"/>
        <v>669.22</v>
      </c>
      <c r="K300" s="3" t="s">
        <v>22</v>
      </c>
      <c r="L300" s="3">
        <v>9</v>
      </c>
      <c r="M300" s="3">
        <v>5</v>
      </c>
      <c r="N300" s="3" t="s">
        <v>546</v>
      </c>
      <c r="O300" s="3" t="s">
        <v>551</v>
      </c>
      <c r="P300" s="3" t="s">
        <v>544</v>
      </c>
      <c r="Q300" s="3">
        <v>0.05</v>
      </c>
      <c r="R300" s="3">
        <v>400000</v>
      </c>
      <c r="S300" s="3">
        <v>31</v>
      </c>
      <c r="T300" s="3">
        <v>7</v>
      </c>
      <c r="U300" s="3">
        <v>40</v>
      </c>
    </row>
    <row r="301" spans="1:21" x14ac:dyDescent="0.25">
      <c r="A301" s="3" t="s">
        <v>541</v>
      </c>
      <c r="B301" s="3" t="s">
        <v>222</v>
      </c>
      <c r="C301" s="3" t="str">
        <f t="shared" si="12"/>
        <v>May</v>
      </c>
      <c r="D301" s="3">
        <v>44</v>
      </c>
      <c r="E301" s="3" t="str">
        <f t="shared" si="13"/>
        <v>adult</v>
      </c>
      <c r="F301" s="3" t="s">
        <v>20</v>
      </c>
      <c r="G301" s="3" t="s">
        <v>26</v>
      </c>
      <c r="H301" s="3">
        <v>3674.04</v>
      </c>
      <c r="I301" s="3">
        <v>5</v>
      </c>
      <c r="J301" s="3">
        <f t="shared" si="14"/>
        <v>18370.2</v>
      </c>
      <c r="K301" s="3" t="s">
        <v>31</v>
      </c>
      <c r="L301" s="3">
        <v>8</v>
      </c>
      <c r="M301" s="3">
        <v>4</v>
      </c>
      <c r="N301" s="3" t="s">
        <v>542</v>
      </c>
      <c r="O301" s="3" t="s">
        <v>545</v>
      </c>
      <c r="P301" s="3" t="s">
        <v>548</v>
      </c>
      <c r="Q301" s="3">
        <v>0.12</v>
      </c>
      <c r="R301" s="3">
        <v>240000</v>
      </c>
      <c r="S301" s="3">
        <v>50</v>
      </c>
      <c r="T301" s="3">
        <v>14</v>
      </c>
      <c r="U301" s="3">
        <v>30</v>
      </c>
    </row>
    <row r="302" spans="1:21" x14ac:dyDescent="0.25">
      <c r="A302" s="3"/>
    </row>
    <row r="303" spans="1:21" x14ac:dyDescent="0.25">
      <c r="A303" s="3"/>
    </row>
    <row r="304" spans="1:21" x14ac:dyDescent="0.25">
      <c r="A304" s="3"/>
    </row>
    <row r="305" spans="1:1" x14ac:dyDescent="0.25">
      <c r="A305" s="3"/>
    </row>
    <row r="306" spans="1:1" x14ac:dyDescent="0.25">
      <c r="A306" s="3"/>
    </row>
  </sheetData>
  <autoFilter ref="A1:U301" xr:uid="{A2BFA7BE-FCE2-4727-A777-746378EB7DDF}"/>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8BAC-F835-453B-ABC3-7F51ACB492EA}">
  <dimension ref="A1:Z100"/>
  <sheetViews>
    <sheetView showGridLines="0" tabSelected="1" zoomScale="95" zoomScaleNormal="106" workbookViewId="0">
      <selection activeCell="G37" sqref="G37"/>
    </sheetView>
  </sheetViews>
  <sheetFormatPr defaultRowHeight="15" x14ac:dyDescent="0.25"/>
  <sheetData>
    <row r="1" spans="1:26" ht="24.75" customHeight="1" x14ac:dyDescent="0.25">
      <c r="A1" s="13" t="s">
        <v>580</v>
      </c>
      <c r="B1" s="14"/>
      <c r="C1" s="14"/>
      <c r="D1" s="14"/>
      <c r="E1" s="14"/>
      <c r="F1" s="14"/>
      <c r="G1" s="14"/>
      <c r="H1" s="14"/>
      <c r="I1" s="14"/>
      <c r="J1" s="14"/>
      <c r="K1" s="14"/>
      <c r="L1" s="14"/>
      <c r="M1" s="14"/>
      <c r="N1" s="14"/>
      <c r="O1" s="14"/>
      <c r="P1" s="14"/>
      <c r="Q1" s="14"/>
      <c r="R1" s="14"/>
      <c r="S1" s="14"/>
      <c r="T1" s="14"/>
      <c r="U1" s="14"/>
      <c r="V1" s="15"/>
      <c r="W1" s="7"/>
      <c r="X1" s="7"/>
      <c r="Y1" s="7"/>
      <c r="Z1" s="7"/>
    </row>
    <row r="2" spans="1:26" ht="4.5" customHeight="1" thickBot="1" x14ac:dyDescent="0.3">
      <c r="A2" s="16"/>
      <c r="B2" s="17"/>
      <c r="C2" s="17"/>
      <c r="D2" s="17"/>
      <c r="E2" s="17"/>
      <c r="F2" s="17"/>
      <c r="G2" s="17"/>
      <c r="H2" s="17"/>
      <c r="I2" s="17"/>
      <c r="J2" s="17"/>
      <c r="K2" s="17"/>
      <c r="L2" s="17"/>
      <c r="M2" s="17"/>
      <c r="N2" s="17"/>
      <c r="O2" s="17"/>
      <c r="P2" s="17"/>
      <c r="Q2" s="17"/>
      <c r="R2" s="17"/>
      <c r="S2" s="17"/>
      <c r="T2" s="17"/>
      <c r="U2" s="17"/>
      <c r="V2" s="18"/>
      <c r="W2" s="7"/>
      <c r="X2" s="7"/>
      <c r="Y2" s="7"/>
      <c r="Z2" s="7"/>
    </row>
    <row r="3" spans="1:26" x14ac:dyDescent="0.25">
      <c r="A3" s="7"/>
      <c r="B3" s="7"/>
      <c r="C3" s="7"/>
      <c r="D3" s="7"/>
      <c r="E3" s="7"/>
      <c r="F3" s="7"/>
      <c r="G3" s="7"/>
      <c r="H3" s="7"/>
      <c r="I3" s="7"/>
      <c r="J3" s="7"/>
      <c r="K3" s="7"/>
      <c r="L3" s="7"/>
      <c r="M3" s="7"/>
      <c r="N3" s="7"/>
      <c r="O3" s="7"/>
      <c r="P3" s="7"/>
      <c r="Q3" s="7"/>
      <c r="R3" s="7"/>
      <c r="S3" s="7"/>
      <c r="T3" s="7"/>
      <c r="U3" s="7"/>
      <c r="V3" s="7"/>
      <c r="W3" s="7"/>
      <c r="X3" s="7"/>
      <c r="Y3" s="7"/>
      <c r="Z3" s="7"/>
    </row>
    <row r="4" spans="1:26" x14ac:dyDescent="0.25">
      <c r="A4" s="7"/>
      <c r="B4" s="7"/>
      <c r="C4" s="7"/>
      <c r="D4" s="7"/>
      <c r="E4" s="7"/>
      <c r="F4" s="7"/>
      <c r="G4" s="7"/>
      <c r="H4" s="7"/>
      <c r="I4" s="7"/>
      <c r="J4" s="7"/>
      <c r="K4" s="7"/>
      <c r="L4" s="7"/>
      <c r="M4" s="7"/>
      <c r="N4" s="7"/>
      <c r="O4" s="7"/>
      <c r="P4" s="7"/>
      <c r="Q4" s="7"/>
      <c r="R4" s="7"/>
      <c r="S4" s="7"/>
      <c r="T4" s="7"/>
      <c r="U4" s="7"/>
      <c r="V4" s="7"/>
      <c r="W4" s="7"/>
      <c r="X4" s="7"/>
      <c r="Y4" s="7"/>
      <c r="Z4" s="7"/>
    </row>
    <row r="5" spans="1:26" x14ac:dyDescent="0.25">
      <c r="A5" s="7"/>
      <c r="B5" s="7"/>
      <c r="C5" s="7"/>
      <c r="D5" s="7"/>
      <c r="E5" s="7"/>
      <c r="F5" s="7"/>
      <c r="G5" s="7"/>
      <c r="H5" s="7"/>
      <c r="I5" s="7"/>
      <c r="J5" s="7"/>
      <c r="K5" s="7"/>
      <c r="L5" s="7"/>
      <c r="M5" s="7"/>
      <c r="N5" s="7"/>
      <c r="O5" s="7"/>
      <c r="P5" s="7"/>
      <c r="Q5" s="7"/>
      <c r="R5" s="7"/>
      <c r="S5" s="7"/>
      <c r="T5" s="7"/>
      <c r="U5" s="7"/>
      <c r="V5" s="7"/>
      <c r="W5" s="7"/>
      <c r="X5" s="7"/>
      <c r="Y5" s="7"/>
      <c r="Z5" s="7"/>
    </row>
    <row r="6" spans="1:26" x14ac:dyDescent="0.25">
      <c r="A6" s="7"/>
      <c r="B6" s="7"/>
      <c r="C6" s="7"/>
      <c r="D6" s="7"/>
      <c r="E6" s="7"/>
      <c r="F6" s="7"/>
      <c r="G6" s="7"/>
      <c r="H6" s="7"/>
      <c r="I6" s="7"/>
      <c r="J6" s="7"/>
      <c r="K6" s="7"/>
      <c r="L6" s="7"/>
      <c r="M6" s="7"/>
      <c r="N6" s="7"/>
      <c r="O6" s="7"/>
      <c r="P6" s="7"/>
      <c r="Q6" s="7"/>
      <c r="R6" s="7"/>
      <c r="S6" s="7"/>
      <c r="T6" s="7"/>
      <c r="U6" s="7"/>
      <c r="V6" s="7"/>
      <c r="W6" s="7"/>
      <c r="X6" s="7"/>
      <c r="Y6" s="7"/>
      <c r="Z6" s="7"/>
    </row>
    <row r="7" spans="1:26" x14ac:dyDescent="0.25">
      <c r="A7" s="7"/>
      <c r="B7" s="7"/>
      <c r="C7" s="7"/>
      <c r="D7" s="7"/>
      <c r="E7" s="7"/>
      <c r="F7" s="7"/>
      <c r="G7" s="7"/>
      <c r="H7" s="7"/>
      <c r="I7" s="7"/>
      <c r="J7" s="7"/>
      <c r="K7" s="7"/>
      <c r="L7" s="7"/>
      <c r="M7" s="7"/>
      <c r="N7" s="7"/>
      <c r="O7" s="7"/>
      <c r="P7" s="7"/>
      <c r="Q7" s="7"/>
      <c r="R7" s="7"/>
      <c r="S7" s="7"/>
      <c r="T7" s="7"/>
      <c r="U7" s="7"/>
      <c r="V7" s="7"/>
      <c r="W7" s="7"/>
      <c r="X7" s="7"/>
      <c r="Y7" s="7"/>
      <c r="Z7" s="7"/>
    </row>
    <row r="8" spans="1:26" x14ac:dyDescent="0.25">
      <c r="A8" s="7"/>
      <c r="B8" s="7"/>
      <c r="C8" s="7"/>
      <c r="D8" s="7"/>
      <c r="E8" s="7"/>
      <c r="F8" s="7"/>
      <c r="G8" s="7"/>
      <c r="H8" s="7"/>
      <c r="I8" s="7"/>
      <c r="J8" s="7"/>
      <c r="K8" s="7"/>
      <c r="L8" s="7"/>
      <c r="M8" s="7"/>
      <c r="N8" s="7"/>
      <c r="O8" s="7"/>
      <c r="P8" s="7"/>
      <c r="Q8" s="7"/>
      <c r="R8" s="7"/>
      <c r="S8" s="7"/>
      <c r="T8" s="7"/>
      <c r="U8" s="7"/>
      <c r="V8" s="7"/>
      <c r="W8" s="7"/>
      <c r="X8" s="7"/>
      <c r="Y8" s="7"/>
      <c r="Z8" s="7"/>
    </row>
    <row r="9" spans="1:26" x14ac:dyDescent="0.25">
      <c r="A9" s="7"/>
      <c r="B9" s="7"/>
      <c r="C9" s="7"/>
      <c r="D9" s="7"/>
      <c r="E9" s="7"/>
      <c r="F9" s="7"/>
      <c r="G9" s="7"/>
      <c r="H9" s="7"/>
      <c r="I9" s="7"/>
      <c r="J9" s="7"/>
      <c r="K9" s="7"/>
      <c r="L9" s="7"/>
      <c r="M9" s="7"/>
      <c r="N9" s="7"/>
      <c r="O9" s="7"/>
      <c r="P9" s="7"/>
      <c r="Q9" s="7"/>
      <c r="R9" s="7"/>
      <c r="S9" s="7"/>
      <c r="T9" s="7"/>
      <c r="U9" s="7"/>
      <c r="V9" s="7"/>
      <c r="W9" s="7"/>
      <c r="X9" s="7"/>
      <c r="Y9" s="7"/>
      <c r="Z9" s="7"/>
    </row>
    <row r="10" spans="1:26"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25">
      <c r="A11" s="7"/>
      <c r="B11" s="7"/>
      <c r="C11" s="7"/>
      <c r="D11" s="7"/>
      <c r="E11" s="7"/>
      <c r="F11" s="7"/>
      <c r="G11" s="7"/>
      <c r="H11" s="7"/>
      <c r="I11" s="7"/>
      <c r="J11" s="7"/>
      <c r="K11" s="7"/>
      <c r="L11" s="7"/>
      <c r="M11" s="7"/>
      <c r="N11" s="7"/>
      <c r="O11" s="7"/>
      <c r="P11" s="7"/>
      <c r="Q11" s="7"/>
      <c r="R11" s="7"/>
      <c r="S11" s="7"/>
      <c r="T11" s="7"/>
      <c r="U11" s="7"/>
      <c r="V11" s="7"/>
      <c r="X11" s="7"/>
      <c r="Y11" s="7"/>
      <c r="Z11" s="7"/>
    </row>
    <row r="12" spans="1:26"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25">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25">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25">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sheetData>
  <mergeCells count="1">
    <mergeCell ref="A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paste as value</vt:lpstr>
      <vt:lpstr>sales by category</vt:lpstr>
      <vt:lpstr>MONTHLY TREND</vt:lpstr>
      <vt:lpstr>TOP CITY</vt:lpstr>
      <vt:lpstr>PAYMENT METHOD</vt:lpstr>
      <vt:lpstr>DELIVERY VS RATING</vt:lpstr>
      <vt:lpstr>RETURNS</vt:lpstr>
      <vt:lpstr>CUSTOMER TYPE</vt:lpstr>
      <vt:lpstr>AGE GROUP</vt:lpstr>
      <vt:lpstr>cleaning</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Yogeshwar Tribhuvan</dc:creator>
  <cp:lastModifiedBy>Yogeshwar Tribhuvan</cp:lastModifiedBy>
  <dcterms:created xsi:type="dcterms:W3CDTF">2026-04-23T06:44:15Z</dcterms:created>
  <dcterms:modified xsi:type="dcterms:W3CDTF">2026-04-24T06:48:24Z</dcterms:modified>
</cp:coreProperties>
</file>